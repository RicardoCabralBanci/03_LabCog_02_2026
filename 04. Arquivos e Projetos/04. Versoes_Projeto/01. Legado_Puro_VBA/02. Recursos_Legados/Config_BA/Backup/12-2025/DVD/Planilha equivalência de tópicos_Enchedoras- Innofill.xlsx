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Abteilungen\SaoPaulo\PQK-M\Transfer\Fillipe Silva\Configurador\"/>
    </mc:Choice>
  </mc:AlternateContent>
  <xr:revisionPtr revIDLastSave="0" documentId="13_ncr:1_{CCC8AFC3-5776-469D-9A8D-DE1E7A192B3B}" xr6:coauthVersionLast="45" xr6:coauthVersionMax="45" xr10:uidLastSave="{00000000-0000-0000-0000-000000000000}"/>
  <bookViews>
    <workbookView xWindow="31920" yWindow="1185" windowWidth="20955" windowHeight="14700" xr2:uid="{7A657019-5994-429A-96AF-860D057FBB29}"/>
  </bookViews>
  <sheets>
    <sheet name="Padrão Alemanha" sheetId="1" r:id="rId1"/>
    <sheet name="Planilha2" sheetId="2" r:id="rId2"/>
    <sheet name="Planilha1" sheetId="3" r:id="rId3"/>
  </sheets>
  <definedNames>
    <definedName name="_xlnm._FilterDatabase" localSheetId="0" hidden="1">'Padrão Alemanha'!$A$5:$AJ$5</definedName>
    <definedName name="_xlnm._FilterDatabase" localSheetId="2" hidden="1">Planilha1!$B$1:$N$197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" i="1" l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C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 s="1"/>
  <c r="B64" i="1" a="1"/>
  <c r="B64" i="1" s="1"/>
  <c r="B65" i="1" a="1"/>
  <c r="B65" i="1" s="1"/>
  <c r="B66" i="1" a="1"/>
  <c r="B66" i="1" s="1"/>
  <c r="B67" i="1" a="1"/>
  <c r="B67" i="1" s="1"/>
  <c r="B68" i="1" a="1"/>
  <c r="B68" i="1" s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 s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 s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 s="1"/>
  <c r="B157" i="1" a="1"/>
  <c r="B157" i="1" s="1"/>
  <c r="B158" i="1" a="1"/>
  <c r="B158" i="1" s="1"/>
  <c r="B159" i="1" a="1"/>
  <c r="B159" i="1" s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174" i="1" a="1"/>
  <c r="B174" i="1" s="1"/>
  <c r="B175" i="1" a="1"/>
  <c r="B175" i="1" s="1"/>
  <c r="B176" i="1" a="1"/>
  <c r="B176" i="1" s="1"/>
  <c r="B177" i="1" a="1"/>
  <c r="B177" i="1" s="1"/>
  <c r="B178" i="1" a="1"/>
  <c r="B178" i="1" s="1"/>
  <c r="B179" i="1" a="1"/>
  <c r="B179" i="1" s="1"/>
  <c r="B180" i="1" a="1"/>
  <c r="B180" i="1" s="1"/>
  <c r="B181" i="1" a="1"/>
  <c r="B181" i="1" s="1"/>
  <c r="B182" i="1" a="1"/>
  <c r="B182" i="1" s="1"/>
  <c r="B183" i="1" a="1"/>
  <c r="B183" i="1" s="1"/>
  <c r="B184" i="1" a="1"/>
  <c r="B184" i="1" s="1"/>
  <c r="B185" i="1" a="1"/>
  <c r="B185" i="1" s="1"/>
  <c r="B186" i="1" a="1"/>
  <c r="B186" i="1" s="1"/>
  <c r="B187" i="1" a="1"/>
  <c r="B187" i="1" s="1"/>
  <c r="B188" i="1" a="1"/>
  <c r="B188" i="1" s="1"/>
  <c r="B189" i="1" a="1"/>
  <c r="B189" i="1" s="1"/>
  <c r="B190" i="1" a="1"/>
  <c r="B190" i="1" s="1"/>
  <c r="B191" i="1" a="1"/>
  <c r="B191" i="1" s="1"/>
  <c r="B192" i="1" a="1"/>
  <c r="B192" i="1" s="1"/>
  <c r="B193" i="1" a="1"/>
  <c r="B193" i="1" s="1"/>
  <c r="B194" i="1" a="1"/>
  <c r="B194" i="1" s="1"/>
  <c r="B195" i="1" a="1"/>
  <c r="B195" i="1" s="1"/>
  <c r="B196" i="1" a="1"/>
  <c r="B196" i="1" s="1"/>
  <c r="B197" i="1" a="1"/>
  <c r="B197" i="1" s="1"/>
  <c r="B198" i="1" a="1"/>
  <c r="B198" i="1" s="1"/>
  <c r="B199" i="1" a="1"/>
  <c r="B199" i="1" s="1"/>
  <c r="B200" i="1" a="1"/>
  <c r="B200" i="1" s="1"/>
  <c r="B201" i="1" a="1"/>
  <c r="B201" i="1" s="1"/>
  <c r="B202" i="1" a="1"/>
  <c r="B202" i="1" s="1"/>
  <c r="B203" i="1" a="1"/>
  <c r="B203" i="1" s="1"/>
  <c r="B204" i="1" a="1"/>
  <c r="B204" i="1" s="1"/>
  <c r="B205" i="1" a="1"/>
  <c r="B205" i="1" s="1"/>
  <c r="B206" i="1" a="1"/>
  <c r="B206" i="1" s="1"/>
  <c r="B207" i="1" a="1"/>
  <c r="B207" i="1" s="1"/>
  <c r="B208" i="1" a="1"/>
  <c r="B208" i="1" s="1"/>
  <c r="B209" i="1" a="1"/>
  <c r="B209" i="1" s="1"/>
  <c r="B210" i="1" a="1"/>
  <c r="B210" i="1" s="1"/>
  <c r="B211" i="1" a="1"/>
  <c r="B211" i="1" s="1"/>
  <c r="B212" i="1" a="1"/>
  <c r="B212" i="1" s="1"/>
  <c r="B213" i="1" a="1"/>
  <c r="B213" i="1" s="1"/>
  <c r="B214" i="1" a="1"/>
  <c r="B214" i="1" s="1"/>
  <c r="B215" i="1" a="1"/>
  <c r="B215" i="1" s="1"/>
  <c r="B216" i="1" a="1"/>
  <c r="B216" i="1" s="1"/>
  <c r="B217" i="1" a="1"/>
  <c r="B217" i="1" s="1"/>
  <c r="B218" i="1" a="1"/>
  <c r="B218" i="1" s="1"/>
  <c r="B219" i="1" a="1"/>
  <c r="B219" i="1" s="1"/>
  <c r="B220" i="1" a="1"/>
  <c r="B220" i="1" s="1"/>
  <c r="B221" i="1" a="1"/>
  <c r="B221" i="1" s="1"/>
  <c r="B222" i="1" a="1"/>
  <c r="B222" i="1" s="1"/>
  <c r="B223" i="1" a="1"/>
  <c r="B223" i="1" s="1"/>
  <c r="B224" i="1" a="1"/>
  <c r="B224" i="1" s="1"/>
  <c r="B225" i="1" a="1"/>
  <c r="B225" i="1" s="1"/>
  <c r="B226" i="1" a="1"/>
  <c r="B226" i="1" s="1"/>
  <c r="B227" i="1" a="1"/>
  <c r="B227" i="1" s="1"/>
  <c r="B228" i="1" a="1"/>
  <c r="B228" i="1" s="1"/>
  <c r="B229" i="1" a="1"/>
  <c r="B229" i="1" s="1"/>
  <c r="B230" i="1" a="1"/>
  <c r="B230" i="1" s="1"/>
  <c r="B231" i="1" a="1"/>
  <c r="B231" i="1" s="1"/>
  <c r="B232" i="1" a="1"/>
  <c r="B232" i="1" s="1"/>
  <c r="B233" i="1" a="1"/>
  <c r="B233" i="1" s="1"/>
  <c r="B234" i="1" a="1"/>
  <c r="B234" i="1" s="1"/>
  <c r="B235" i="1" a="1"/>
  <c r="B235" i="1" s="1"/>
  <c r="B236" i="1" a="1"/>
  <c r="B236" i="1" s="1"/>
  <c r="B237" i="1" a="1"/>
  <c r="B237" i="1" s="1"/>
  <c r="B238" i="1" a="1"/>
  <c r="B238" i="1" s="1"/>
  <c r="B239" i="1" a="1"/>
  <c r="B239" i="1" s="1"/>
  <c r="B240" i="1" a="1"/>
  <c r="B240" i="1" s="1"/>
  <c r="B241" i="1" a="1"/>
  <c r="B241" i="1" s="1"/>
  <c r="B242" i="1" a="1"/>
  <c r="B242" i="1" s="1"/>
  <c r="B243" i="1" a="1"/>
  <c r="B243" i="1" s="1"/>
  <c r="B244" i="1" a="1"/>
  <c r="B244" i="1" s="1"/>
  <c r="B245" i="1" a="1"/>
  <c r="B245" i="1" s="1"/>
  <c r="B246" i="1" a="1"/>
  <c r="B246" i="1" s="1"/>
  <c r="B247" i="1" a="1"/>
  <c r="B247" i="1" s="1"/>
  <c r="B248" i="1" a="1"/>
  <c r="B248" i="1" s="1"/>
  <c r="B249" i="1" a="1"/>
  <c r="B249" i="1" s="1"/>
  <c r="B250" i="1" a="1"/>
  <c r="B250" i="1" s="1"/>
  <c r="B251" i="1" a="1"/>
  <c r="B251" i="1" s="1"/>
  <c r="B252" i="1" a="1"/>
  <c r="B252" i="1" s="1"/>
  <c r="B253" i="1" a="1"/>
  <c r="B253" i="1" s="1"/>
  <c r="B254" i="1" a="1"/>
  <c r="B254" i="1" s="1"/>
  <c r="B255" i="1" a="1"/>
  <c r="B255" i="1" s="1"/>
  <c r="B256" i="1" a="1"/>
  <c r="B256" i="1" s="1"/>
  <c r="B257" i="1" a="1"/>
  <c r="B257" i="1" s="1"/>
  <c r="B258" i="1" a="1"/>
  <c r="B258" i="1" s="1"/>
  <c r="B259" i="1" a="1"/>
  <c r="B259" i="1" s="1"/>
  <c r="B260" i="1" a="1"/>
  <c r="B260" i="1" s="1"/>
  <c r="B261" i="1" a="1"/>
  <c r="B261" i="1" s="1"/>
  <c r="B262" i="1" a="1"/>
  <c r="B262" i="1" s="1"/>
  <c r="B263" i="1" a="1"/>
  <c r="B263" i="1" s="1"/>
  <c r="B264" i="1" a="1"/>
  <c r="B264" i="1" s="1"/>
  <c r="B265" i="1" a="1"/>
  <c r="B265" i="1" s="1"/>
  <c r="B266" i="1" a="1"/>
  <c r="B266" i="1" s="1"/>
  <c r="B267" i="1" a="1"/>
  <c r="B267" i="1" s="1"/>
  <c r="B268" i="1" a="1"/>
  <c r="B268" i="1" s="1"/>
  <c r="B269" i="1" a="1"/>
  <c r="B269" i="1" s="1"/>
  <c r="B270" i="1" a="1"/>
  <c r="B270" i="1" s="1"/>
  <c r="B271" i="1" a="1"/>
  <c r="B271" i="1" s="1"/>
  <c r="B272" i="1" a="1"/>
  <c r="B272" i="1" s="1"/>
  <c r="B273" i="1" a="1"/>
  <c r="B273" i="1" s="1"/>
  <c r="B274" i="1" a="1"/>
  <c r="B274" i="1" s="1"/>
  <c r="B275" i="1" a="1"/>
  <c r="B275" i="1" s="1"/>
  <c r="B276" i="1" a="1"/>
  <c r="B276" i="1" s="1"/>
  <c r="B277" i="1" a="1"/>
  <c r="B277" i="1" s="1"/>
  <c r="B278" i="1" a="1"/>
  <c r="B278" i="1" s="1"/>
  <c r="B279" i="1" a="1"/>
  <c r="B279" i="1" s="1"/>
  <c r="B280" i="1" a="1"/>
  <c r="B280" i="1" s="1"/>
  <c r="B281" i="1" a="1"/>
  <c r="B281" i="1" s="1"/>
  <c r="B282" i="1" a="1"/>
  <c r="B282" i="1" s="1"/>
  <c r="B283" i="1" a="1"/>
  <c r="B283" i="1" s="1"/>
  <c r="B284" i="1" a="1"/>
  <c r="B284" i="1" s="1"/>
  <c r="A6" i="1" l="1"/>
  <c r="J6" i="2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5" i="2"/>
  <c r="H5" i="2"/>
  <c r="G5" i="2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2" i="3"/>
  <c r="AC1" i="1" l="1"/>
  <c r="AD1" i="1"/>
  <c r="AE1" i="1"/>
  <c r="AF1" i="1"/>
  <c r="AG1" i="1"/>
  <c r="AH1" i="1"/>
  <c r="AI1" i="1"/>
  <c r="AJ1" i="1"/>
  <c r="B6" i="1" l="1" a="1"/>
  <c r="B6" i="1" s="1"/>
</calcChain>
</file>

<file path=xl/sharedStrings.xml><?xml version="1.0" encoding="utf-8"?>
<sst xmlns="http://schemas.openxmlformats.org/spreadsheetml/2006/main" count="7394" uniqueCount="1919">
  <si>
    <t>General information</t>
  </si>
  <si>
    <t>Target Group</t>
  </si>
  <si>
    <t>Notes on technical documentation</t>
  </si>
  <si>
    <t>Machine assignment</t>
  </si>
  <si>
    <t>Customer Service</t>
  </si>
  <si>
    <t>Copyright</t>
  </si>
  <si>
    <t>Notes on reading this manual</t>
  </si>
  <si>
    <t>Safety information</t>
  </si>
  <si>
    <t>Purpose of safety information</t>
  </si>
  <si>
    <t>Intended use</t>
  </si>
  <si>
    <t>Reasonably foreseeable misuse</t>
  </si>
  <si>
    <t>Obligations of the operator</t>
  </si>
  <si>
    <t>Personnel requirements</t>
  </si>
  <si>
    <t>Protective equipment</t>
  </si>
  <si>
    <t>Hazardous areas and identification of these areas</t>
  </si>
  <si>
    <t>Warning signs</t>
  </si>
  <si>
    <t>Mounting location of signs</t>
  </si>
  <si>
    <t>Safety equipment</t>
  </si>
  <si>
    <t>Emergency stop</t>
  </si>
  <si>
    <t>Relief valve to relieve excessively high pressure</t>
  </si>
  <si>
    <t>Installation location of safety equipment</t>
  </si>
  <si>
    <t>Equipment for disconnecting and securing</t>
  </si>
  <si>
    <t>Conduct in hazardous situations and in the event of an accident</t>
  </si>
  <si>
    <t>Operating statuses</t>
  </si>
  <si>
    <t>Deenergized machine</t>
  </si>
  <si>
    <t>Operating status OFF</t>
  </si>
  <si>
    <t>Operating status ON</t>
  </si>
  <si>
    <t>Pressure tanks</t>
  </si>
  <si>
    <t>Residual risks</t>
  </si>
  <si>
    <t>Layout and function</t>
  </si>
  <si>
    <t>Cleaning system</t>
  </si>
  <si>
    <t>Tanks (area CR71, CR72, CR75)</t>
  </si>
  <si>
    <t>Detergent concentrate dosing station</t>
  </si>
  <si>
    <t>Detergent and steam circuit (area CR70)</t>
  </si>
  <si>
    <t>Detergent and steam circuit (CR69 area)</t>
  </si>
  <si>
    <t>Heater for fresh water (area CR84)</t>
  </si>
  <si>
    <t>Heater for fresh water (area CR83)</t>
  </si>
  <si>
    <t>Control air supply</t>
  </si>
  <si>
    <t>Signaling equipment</t>
  </si>
  <si>
    <t>Operating controls</t>
  </si>
  <si>
    <t>Workstation</t>
  </si>
  <si>
    <t>Measuring, control and regulating equipment</t>
  </si>
  <si>
    <t>Switch cabinet</t>
  </si>
  <si>
    <t>Machine control</t>
  </si>
  <si>
    <t>Cleaning control</t>
  </si>
  <si>
    <t>Pneumatics</t>
  </si>
  <si>
    <t>Electrical system</t>
  </si>
  <si>
    <t>Assembly</t>
  </si>
  <si>
    <t>Safety instructions</t>
  </si>
  <si>
    <t>Check the items included in the delivery and inspect the shipment</t>
  </si>
  <si>
    <t>Transportation</t>
  </si>
  <si>
    <t>Installation</t>
  </si>
  <si>
    <t>Connection</t>
  </si>
  <si>
    <t>Commissioning</t>
  </si>
  <si>
    <t>Decommissioning</t>
  </si>
  <si>
    <t>Storage</t>
  </si>
  <si>
    <t>Disposal</t>
  </si>
  <si>
    <t>Operation</t>
  </si>
  <si>
    <t>Emergency stop switch</t>
  </si>
  <si>
    <t>Signal lamp</t>
  </si>
  <si>
    <t>Signal horn</t>
  </si>
  <si>
    <t>Operator console</t>
  </si>
  <si>
    <t>Keypad</t>
  </si>
  <si>
    <t>Main switch</t>
  </si>
  <si>
    <t>Manual shut-off valves</t>
  </si>
  <si>
    <t>Preparing for operation</t>
  </si>
  <si>
    <t>Opening and setting the control air supply</t>
  </si>
  <si>
    <t>Switching on the power supply</t>
  </si>
  <si>
    <t>Switching on the control voltage</t>
  </si>
  <si>
    <t>Switching on the data recorder</t>
  </si>
  <si>
    <t>Preparing the machine</t>
  </si>
  <si>
    <t>Cleaning external machines/systems</t>
  </si>
  <si>
    <t>Prerequisites</t>
  </si>
  <si>
    <t>Preparation</t>
  </si>
  <si>
    <t>Execution</t>
  </si>
  <si>
    <t>Ending production</t>
  </si>
  <si>
    <t>Cleaning the CIP system</t>
  </si>
  <si>
    <t>Taking the machine out of operation</t>
  </si>
  <si>
    <t>Subsequent preparation of the machine</t>
  </si>
  <si>
    <t>Switching off the data recorder</t>
  </si>
  <si>
    <t>Switching off the control voltage</t>
  </si>
  <si>
    <t>Switching off the power supply</t>
  </si>
  <si>
    <t>Closing the control air supply</t>
  </si>
  <si>
    <t>Servicing</t>
  </si>
  <si>
    <t>Adhering to regulations</t>
  </si>
  <si>
    <t>Disconnecting and securing</t>
  </si>
  <si>
    <t>Emptying the machine</t>
  </si>
  <si>
    <t>Filling the machine with water</t>
  </si>
  <si>
    <t>Maintenance</t>
  </si>
  <si>
    <t>Notes on maintenance practices</t>
  </si>
  <si>
    <t>Requirements</t>
  </si>
  <si>
    <t>Maintenance schedule</t>
  </si>
  <si>
    <t>Checking the function of the emergency stop switch</t>
  </si>
  <si>
    <t>Servicing the pressure tank</t>
  </si>
  <si>
    <t>Performing a lamp test</t>
  </si>
  <si>
    <t>Maintaining seals</t>
  </si>
  <si>
    <t>Tighten the milk pipe joints</t>
  </si>
  <si>
    <t>Maintaining purchased parts</t>
  </si>
  <si>
    <t>Cleaning surfaces</t>
  </si>
  <si>
    <t>Repairs</t>
  </si>
  <si>
    <t>Faults</t>
  </si>
  <si>
    <t>Detecting faults</t>
  </si>
  <si>
    <t>Rectifying faults</t>
  </si>
  <si>
    <t>Technical data</t>
  </si>
  <si>
    <t>Environment requirements</t>
  </si>
  <si>
    <t>Media requirements</t>
  </si>
  <si>
    <t>Explanation of terms</t>
  </si>
  <si>
    <t>Water</t>
  </si>
  <si>
    <t>Air</t>
  </si>
  <si>
    <t>Steam</t>
  </si>
  <si>
    <t>Cleaning recommendations</t>
  </si>
  <si>
    <t>Hygiene of surrounding area (floor, walls, gullies, belts)</t>
  </si>
  <si>
    <t>External cleaning: Selected machines</t>
  </si>
  <si>
    <t>Passivation</t>
  </si>
  <si>
    <t>Machine specifications</t>
  </si>
  <si>
    <t>Supply data</t>
  </si>
  <si>
    <t>Flow rates for the machines</t>
  </si>
  <si>
    <t>Settings</t>
  </si>
  <si>
    <t>Noise emissions</t>
  </si>
  <si>
    <t>Compatibility of materials</t>
  </si>
  <si>
    <t>Characteristics of the sealing materials</t>
  </si>
  <si>
    <t>Installation plan</t>
  </si>
  <si>
    <t>Area CR69</t>
  </si>
  <si>
    <t>Piping and instrumentation diagram (P&amp;ID)</t>
  </si>
  <si>
    <t>Legend</t>
  </si>
  <si>
    <t>Appendix</t>
  </si>
  <si>
    <t>Mandatory signs</t>
  </si>
  <si>
    <t>Protective grating</t>
  </si>
  <si>
    <t>Insulation</t>
  </si>
  <si>
    <t>Area CR69 and CR70 supply</t>
  </si>
  <si>
    <t>Graphical user interface</t>
  </si>
  <si>
    <t>Main window</t>
  </si>
  <si>
    <t>Favorites</t>
  </si>
  <si>
    <t>Logging in and logging out</t>
  </si>
  <si>
    <t>Main menu</t>
  </si>
  <si>
    <t>Labeling of equipment for disconnecting and securing</t>
  </si>
  <si>
    <t>Prohibitory signs</t>
  </si>
  <si>
    <t>Detergent circuit (area CR70)</t>
  </si>
  <si>
    <t>Steam circuit (area CR70)</t>
  </si>
  <si>
    <t>Distributor (area CR70)</t>
  </si>
  <si>
    <t>Remote access for Remote Diagnostic Service (ReDiS)</t>
  </si>
  <si>
    <t>[ReDiS] key switch</t>
  </si>
  <si>
    <t>Distributor</t>
  </si>
  <si>
    <t>Distributor in the media feed</t>
  </si>
  <si>
    <t>Electrical energy</t>
  </si>
  <si>
    <t>Detergent</t>
  </si>
  <si>
    <t>Media connection list</t>
  </si>
  <si>
    <t>Informações gerais</t>
  </si>
  <si>
    <t>Grupo-alvo</t>
  </si>
  <si>
    <t>Informações sobre a documentação técnica</t>
  </si>
  <si>
    <t>Atribuição da máquina</t>
  </si>
  <si>
    <t>Assistência ao cliente</t>
  </si>
  <si>
    <t>Direitos autorais</t>
  </si>
  <si>
    <t xml:space="preserve">Avisos para a leitura </t>
  </si>
  <si>
    <t>Segurança</t>
  </si>
  <si>
    <t>Função de avisos de segurança</t>
  </si>
  <si>
    <t>Utilização prevista</t>
  </si>
  <si>
    <t>Possibilidades de uso incorreto</t>
  </si>
  <si>
    <t>Deveres do operador</t>
  </si>
  <si>
    <t>Requisitos relativos ao pessoal</t>
  </si>
  <si>
    <t>Equipamento de proteção</t>
  </si>
  <si>
    <t>Áreas de risco e sua identificação</t>
  </si>
  <si>
    <t>Sinais de aviso</t>
  </si>
  <si>
    <t>Sinais de obrigação</t>
  </si>
  <si>
    <t>Localização dos sinais</t>
  </si>
  <si>
    <t>Dispositivos de proteção</t>
  </si>
  <si>
    <t>Parada de emergência</t>
  </si>
  <si>
    <t>Válvula de segurança contra sobrepressão não permitida</t>
  </si>
  <si>
    <t>Localização dos dispositivos de proteção</t>
  </si>
  <si>
    <t>Dispositivos para desligamento e proteção</t>
  </si>
  <si>
    <t>Conduta em situações de perigo e acidentes</t>
  </si>
  <si>
    <t>Estados operacionais</t>
  </si>
  <si>
    <t>Máquina desbloqueada</t>
  </si>
  <si>
    <t>Estado operacional desligado</t>
  </si>
  <si>
    <t>Estado operacional ligado</t>
  </si>
  <si>
    <t>Riscos residuais</t>
  </si>
  <si>
    <t>Estrutura e funcionamento</t>
  </si>
  <si>
    <t>Sistema de limpeza</t>
  </si>
  <si>
    <t>Tanques (área CR72, CR73, CR74, CR75)</t>
  </si>
  <si>
    <t>Estação de dosagem de concentrado de produto de limpeza</t>
  </si>
  <si>
    <t>Tanque de produtos de limpeza (Área CR70)</t>
  </si>
  <si>
    <t>Circuito de vapor (área CR70)</t>
  </si>
  <si>
    <t>Abastecimento de ar de controle</t>
  </si>
  <si>
    <t>Dispositivos de aviso</t>
  </si>
  <si>
    <t>Dispositivos de comando</t>
  </si>
  <si>
    <t>Console de operação</t>
  </si>
  <si>
    <t>Interface gráfica do usuário</t>
  </si>
  <si>
    <t>Tela principal</t>
  </si>
  <si>
    <t>Favoritos</t>
  </si>
  <si>
    <t>Logon e logoff</t>
  </si>
  <si>
    <t>Menu principal</t>
  </si>
  <si>
    <t>Posto de trabalho</t>
  </si>
  <si>
    <t>Tecnologia de medição, controle e regulagem</t>
  </si>
  <si>
    <t>Armário de distribuição</t>
  </si>
  <si>
    <t>Comando da máquina</t>
  </si>
  <si>
    <t>Comando da limpeza</t>
  </si>
  <si>
    <t>Sistema pneumático</t>
  </si>
  <si>
    <t>Parte elétrica</t>
  </si>
  <si>
    <t>Montagem</t>
  </si>
  <si>
    <t>Avisos de segurança</t>
  </si>
  <si>
    <t>Verificar o volume de fornecimento e executar a inspeção de entrega</t>
  </si>
  <si>
    <t>Transporte</t>
  </si>
  <si>
    <t>Montar</t>
  </si>
  <si>
    <t>Ligar</t>
  </si>
  <si>
    <t>Colocar em funcionamento</t>
  </si>
  <si>
    <t>Desligar</t>
  </si>
  <si>
    <t>Armazenamento</t>
  </si>
  <si>
    <t>Descarte</t>
  </si>
  <si>
    <t>Operação</t>
  </si>
  <si>
    <t>Botão de parada de emergência</t>
  </si>
  <si>
    <t>Luzes de sinalização</t>
  </si>
  <si>
    <t>Sirene de aviso</t>
  </si>
  <si>
    <t>Interruptor principal</t>
  </si>
  <si>
    <t>Válvulas de bloqueio manual</t>
  </si>
  <si>
    <t>Estabelecer prontidão operacional</t>
  </si>
  <si>
    <t>Abrir e configurar a alimentação do ar controlado</t>
  </si>
  <si>
    <t>Ligar a alimentação de tensão</t>
  </si>
  <si>
    <t>Ligar tensão de comando</t>
  </si>
  <si>
    <t>Preparar a máquina</t>
  </si>
  <si>
    <t>Limpeza das máquinas/dos sistemas externos</t>
  </si>
  <si>
    <t>Requisitos</t>
  </si>
  <si>
    <t>Preparar</t>
  </si>
  <si>
    <t>Executar</t>
  </si>
  <si>
    <t>Encerrar</t>
  </si>
  <si>
    <t>Limpeza do sistema CIP</t>
  </si>
  <si>
    <t>Cancelar prontidão operacional</t>
  </si>
  <si>
    <t>Processar posteriormente a máquina</t>
  </si>
  <si>
    <t>Desligar a tensão de comando</t>
  </si>
  <si>
    <t>Desligar a alimentação de tensão</t>
  </si>
  <si>
    <t>Fechar a alimentação de ar de controle</t>
  </si>
  <si>
    <t>Manutenção</t>
  </si>
  <si>
    <t>Observar as normas</t>
  </si>
  <si>
    <t>Desconectar e proteger</t>
  </si>
  <si>
    <t>Esvaziar máquina</t>
  </si>
  <si>
    <t>Encher a máquina com água</t>
  </si>
  <si>
    <t>Manutenção preventiva</t>
  </si>
  <si>
    <t>Instruções sobre as práticas de manutenção preventiva</t>
  </si>
  <si>
    <t>Condições prévias</t>
  </si>
  <si>
    <t>Plano de manutenção preventiva</t>
  </si>
  <si>
    <t>Verificar o funcionamento interruptor de parada de emergência</t>
  </si>
  <si>
    <t>Executar teste de lâmpadas</t>
  </si>
  <si>
    <t>Vistoriar as vedações</t>
  </si>
  <si>
    <t>Apertar as uniões roscadas da tubulação de leite</t>
  </si>
  <si>
    <t>Manutenção de peças adquiridas</t>
  </si>
  <si>
    <t>Limpar superfícies</t>
  </si>
  <si>
    <t>Reparo</t>
  </si>
  <si>
    <t>Falhas</t>
  </si>
  <si>
    <t>Detectar</t>
  </si>
  <si>
    <t>Eliminar</t>
  </si>
  <si>
    <t>Dados técnicos</t>
  </si>
  <si>
    <t>Condições ambientais</t>
  </si>
  <si>
    <t>Requisitos para fluidos</t>
  </si>
  <si>
    <t>Explicação de termos</t>
  </si>
  <si>
    <t>Água</t>
  </si>
  <si>
    <t>Ar</t>
  </si>
  <si>
    <t>Vapor</t>
  </si>
  <si>
    <t>Recomendações de limpeza</t>
  </si>
  <si>
    <t>Higiene do ambiente (piso, paredes, ralos, esteiras)</t>
  </si>
  <si>
    <t>Limpeza externa: máquinas selecionadas</t>
  </si>
  <si>
    <t>Passivação</t>
  </si>
  <si>
    <t>Dados da máquina</t>
  </si>
  <si>
    <t>Valores de ajuste</t>
  </si>
  <si>
    <t>Emissão de ruído</t>
  </si>
  <si>
    <t>Identificação dos dispositivos para desligamento e proteção</t>
  </si>
  <si>
    <t>Compatibilidades dos materiais</t>
  </si>
  <si>
    <t>Características dos materiais de vedação</t>
  </si>
  <si>
    <t>Plano de montagem</t>
  </si>
  <si>
    <t>Fluxograma da tubulação e dos instrumentos (diagrama P&amp;ID)</t>
  </si>
  <si>
    <t>Legenda</t>
  </si>
  <si>
    <t>Anexo</t>
  </si>
  <si>
    <t>Tanques (área CR72, CR74, CR75)</t>
  </si>
  <si>
    <t>Distribuidor (área CR70)</t>
  </si>
  <si>
    <t>Transportar</t>
  </si>
  <si>
    <t>Distribuidor</t>
  </si>
  <si>
    <t>Suministro del rociado con agua caliente en la llenadora</t>
  </si>
  <si>
    <t>Realice el rociado con agua caliente</t>
  </si>
  <si>
    <t>Prepare el distribuidor para la siguiente producción</t>
  </si>
  <si>
    <t>Detergente</t>
  </si>
  <si>
    <t>Certificados</t>
  </si>
  <si>
    <t>Declaración de conformidad CE</t>
  </si>
  <si>
    <t xml:space="preserve">Informações gerais </t>
  </si>
  <si>
    <t>Indicações sobre a documentação técnica</t>
  </si>
  <si>
    <t>Componentes integrados</t>
  </si>
  <si>
    <t xml:space="preserve">Indicações para a leitura </t>
  </si>
  <si>
    <t>Função das Instruções de Segurança</t>
  </si>
  <si>
    <t>Utilização incorreta previsível de modo razoável</t>
  </si>
  <si>
    <t>Requisitos impostos aos funcionários</t>
  </si>
  <si>
    <t>Áreas de perigo e sua identificação</t>
  </si>
  <si>
    <t>Local de colocação dos sinais</t>
  </si>
  <si>
    <t>Paragem de emergência</t>
  </si>
  <si>
    <t>Válvula de segurança contra um excesso de pressão não permitido</t>
  </si>
  <si>
    <t>Grelha de proteção</t>
  </si>
  <si>
    <t>Local de colocação dos dispositivos de proteção</t>
  </si>
  <si>
    <t>Dispositivos para desligar e proteger</t>
  </si>
  <si>
    <t>Comportamento em situações de perigo e acidentes</t>
  </si>
  <si>
    <t>Máquina ativada</t>
  </si>
  <si>
    <t>Estado de operação desligado</t>
  </si>
  <si>
    <t>Recipiente pressurizado</t>
  </si>
  <si>
    <t>Perigos residuais</t>
  </si>
  <si>
    <t>Circuito de produtos de limpeza (área CR70)</t>
  </si>
  <si>
    <t>Alimentação de ar de comando</t>
  </si>
  <si>
    <t>Bomba de retorno (área CR79)</t>
  </si>
  <si>
    <t>Sistema de medição, controlo e regulação</t>
  </si>
  <si>
    <t>Sistema elétrico</t>
  </si>
  <si>
    <t>Indicações de segurança</t>
  </si>
  <si>
    <t>Desativação</t>
  </si>
  <si>
    <t>Interruptor de paragem de emergência</t>
  </si>
  <si>
    <t>Luz de aviso</t>
  </si>
  <si>
    <t>Buzina de aviso</t>
  </si>
  <si>
    <t>Painel de controlo</t>
  </si>
  <si>
    <t>Botões</t>
  </si>
  <si>
    <t>Seletor na limpeza dos camiões cisterna</t>
  </si>
  <si>
    <t>Obter a prontidão operacional</t>
  </si>
  <si>
    <t>Abrir e ajustar a alimentação de ar de comando</t>
  </si>
  <si>
    <t>Ligar a tensão de comando</t>
  </si>
  <si>
    <t>Preparar máquina</t>
  </si>
  <si>
    <t>Limpeza de máquinas/sistemas externos</t>
  </si>
  <si>
    <t>Terminar</t>
  </si>
  <si>
    <t>Cancelar a prontidão operacional</t>
  </si>
  <si>
    <t>Preparar novamente a máquina</t>
  </si>
  <si>
    <t>Desligar tensão de comando</t>
  </si>
  <si>
    <t xml:space="preserve">Fechar a alimentação de ar de comando </t>
  </si>
  <si>
    <t>Conservação</t>
  </si>
  <si>
    <t>Separar e fixar</t>
  </si>
  <si>
    <t>Esvaziar a máquina</t>
  </si>
  <si>
    <t>Abastecer a máquina com água</t>
  </si>
  <si>
    <t>Indicações sobre as práticas de manutenção</t>
  </si>
  <si>
    <t>Plano de manutenção</t>
  </si>
  <si>
    <t>Verificar o funcionamento do interruptor de paragem de emergência</t>
  </si>
  <si>
    <t>Fazer a manutenção do recipiente pressurizado</t>
  </si>
  <si>
    <t>Realizar o teste das lâmpadas</t>
  </si>
  <si>
    <t>Manter vedantes</t>
  </si>
  <si>
    <t>Apertar as uniões roscadas</t>
  </si>
  <si>
    <t>Proceder à manutenção de peças adquiridas</t>
  </si>
  <si>
    <t>Reparação</t>
  </si>
  <si>
    <t>Avarias</t>
  </si>
  <si>
    <t>Detetar</t>
  </si>
  <si>
    <t>Exigências relativas ao meio</t>
  </si>
  <si>
    <t>Higiene do entorno (chão, paredes, drenos, fitas)</t>
  </si>
  <si>
    <t>Limpeza exterior: máquinas selecionadas</t>
  </si>
  <si>
    <t>Identificação dos dispositivos para desligar e proteger</t>
  </si>
  <si>
    <t>Compatibilidade química</t>
  </si>
  <si>
    <t>Propriedades do material da vedação</t>
  </si>
  <si>
    <t>Declaração de conformidade CE</t>
  </si>
  <si>
    <t>Esquema de instalação</t>
  </si>
  <si>
    <t>Fluxograma de tubagens e instrumentos (esquema P&amp;ID)</t>
  </si>
  <si>
    <t>Uso incorreto razoavelmente previsível</t>
  </si>
  <si>
    <t>Dispositivos para isolamento e bloqueio de energias</t>
  </si>
  <si>
    <t>Console de controle</t>
  </si>
  <si>
    <t>Isolamento e bloqueio de energias</t>
  </si>
  <si>
    <t>Dados de alimentação</t>
  </si>
  <si>
    <t>Sinalização dos dispositivos de isolamento e bloqueio de energias</t>
  </si>
  <si>
    <t>Identificação da máquina</t>
  </si>
  <si>
    <t>Grade protetora</t>
  </si>
  <si>
    <t>Isolamento</t>
  </si>
  <si>
    <t>Conduta em situações perigosas e acidentes</t>
  </si>
  <si>
    <t>Máquina desenergizada</t>
  </si>
  <si>
    <t>Estado operacional Desligado</t>
  </si>
  <si>
    <t>Estado operacional Ligado</t>
  </si>
  <si>
    <t>Recipientes pressurizados</t>
  </si>
  <si>
    <t>Circuito de produto de limpeza (área CR70)</t>
  </si>
  <si>
    <t>Alimentação de água quente ao enxágue da tampadora</t>
  </si>
  <si>
    <t>Alimentação do ar de controle</t>
  </si>
  <si>
    <t>Console</t>
  </si>
  <si>
    <t>Login e logoff</t>
  </si>
  <si>
    <t>Sinalizador tipo coluna</t>
  </si>
  <si>
    <t>Abrir e configurar a alimentação do ar de controle</t>
  </si>
  <si>
    <t>Lista de pequenas intervenções</t>
  </si>
  <si>
    <t>Efetuar o enxágue com água quente</t>
  </si>
  <si>
    <t>Fechar a alimentação do ar de controle</t>
  </si>
  <si>
    <t>Drenar a máquina</t>
  </si>
  <si>
    <t>Verificar o funcionamento do botão de parada de emergência</t>
  </si>
  <si>
    <t>Vistoriar recipientes pressurizados</t>
  </si>
  <si>
    <t>Quantidades de escoamento das máquinas</t>
  </si>
  <si>
    <t>Plano de instalação</t>
  </si>
  <si>
    <t>% Repetições</t>
  </si>
  <si>
    <t>Flow meter for steam</t>
  </si>
  <si>
    <t>PlantiT process control system</t>
  </si>
  <si>
    <t>Emptying secured areas</t>
  </si>
  <si>
    <t>Maintaining the dirt collecting filter in the primary feed</t>
  </si>
  <si>
    <t>Servicing the dirt collecting filter in the return</t>
  </si>
  <si>
    <t>Estados de operação</t>
  </si>
  <si>
    <t>Depósitos (área CR72, CR73, CR74, CR75)</t>
  </si>
  <si>
    <t>Alimentação área CR69 e CR70</t>
  </si>
  <si>
    <t>Interface gráfica de utilizador</t>
  </si>
  <si>
    <t>Janela principal</t>
  </si>
  <si>
    <t>Iniciar e encerrar sessão</t>
  </si>
  <si>
    <t>Tecnologia de medição, comando e regulação</t>
  </si>
  <si>
    <t>Estabelecimento da prontidão de operação</t>
  </si>
  <si>
    <t>Cancelar a prontidão de operação</t>
  </si>
  <si>
    <t>Fechar a alimentação de ar de comando</t>
  </si>
  <si>
    <t>Desligar e proteger</t>
  </si>
  <si>
    <t>Apertar as uniões roscadas para tubos de leite</t>
  </si>
  <si>
    <t>Volumes de descarga das máquinas</t>
  </si>
  <si>
    <t>Hot water circuit (area CR70)</t>
  </si>
  <si>
    <t>Distributor in the primary feed to the PET filling machine (area CR70)</t>
  </si>
  <si>
    <t>CIP distributor</t>
  </si>
  <si>
    <t>Distributor in detergent circuit CR70</t>
  </si>
  <si>
    <t>Distributor in detergent circuit CR69</t>
  </si>
  <si>
    <t>Consumption measurement</t>
  </si>
  <si>
    <t>Flow meter for fresh water and service water</t>
  </si>
  <si>
    <t>Preparing the consumption measurement</t>
  </si>
  <si>
    <t>Closing off the cleaning system</t>
  </si>
  <si>
    <t>Closing off the consumption measurement</t>
  </si>
  <si>
    <t>PT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</si>
  <si>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</si>
  <si>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</si>
  <si>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</si>
  <si>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</si>
  <si>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</si>
  <si>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</si>
  <si>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</si>
  <si>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</si>
  <si>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</si>
  <si>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</si>
  <si>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</si>
  <si>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</si>
  <si>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</si>
  <si>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</si>
  <si>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</si>
  <si>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</si>
  <si>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</si>
  <si>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</si>
  <si>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</si>
  <si>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</si>
  <si>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</si>
  <si>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</si>
  <si>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</si>
  <si>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</si>
  <si>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</si>
  <si>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</si>
  <si>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</si>
  <si>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</si>
  <si>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</si>
  <si>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</si>
  <si>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</si>
  <si>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</si>
  <si>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</si>
  <si>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</si>
  <si>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</si>
  <si>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</si>
  <si>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</si>
  <si>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</si>
  <si>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</si>
  <si>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</si>
  <si>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</si>
  <si>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</si>
  <si>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</si>
  <si>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</si>
  <si>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</si>
  <si>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</si>
  <si>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</si>
  <si>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</si>
  <si>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</si>
  <si>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</si>
  <si>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</si>
  <si>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</si>
  <si>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</si>
  <si>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</si>
  <si>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</si>
  <si>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</si>
  <si>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</si>
  <si>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</si>
  <si>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</si>
  <si>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</si>
  <si>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PTC1 - Informações gerais</t>
  </si>
  <si>
    <t>PTC1001 - Grupo-alvo</t>
  </si>
  <si>
    <t>PTC1002 - Informações sobre a documentação técnica</t>
  </si>
  <si>
    <t>PTC1003 - Atribuição da máquina</t>
  </si>
  <si>
    <t>PTC1004 - Componentes integrados</t>
  </si>
  <si>
    <t>PTC1005 - Assistência ao cliente</t>
  </si>
  <si>
    <t>PTC1006 - Direitos autorais</t>
  </si>
  <si>
    <t xml:space="preserve">PTC1007 - Avisos para a leitura </t>
  </si>
  <si>
    <t>PTC2 - Segurança</t>
  </si>
  <si>
    <t>PTC2001 - Função de avisos de segurança</t>
  </si>
  <si>
    <t>PTC2002 - Utilização prevista</t>
  </si>
  <si>
    <t>PTC2003 - Possibilidades de uso incorreto</t>
  </si>
  <si>
    <t>PTC2004 - Deveres do operador</t>
  </si>
  <si>
    <t>PTC2005 - Requisitos relativos ao pessoal</t>
  </si>
  <si>
    <t>PTC2006 - Equipamento de proteção</t>
  </si>
  <si>
    <t>PTC2007 - Áreas de risco e sua identificação</t>
  </si>
  <si>
    <t>PTC2009 - Sinais de aviso</t>
  </si>
  <si>
    <t>PTC2010 - Sinais de obrigação</t>
  </si>
  <si>
    <t>PTC2011 - Localização dos sinais</t>
  </si>
  <si>
    <t>PTC2012 - Dispositivos de proteção</t>
  </si>
  <si>
    <t>PTC2013 - Parada de emergência</t>
  </si>
  <si>
    <t>PTC2014 - Válvula de segurança contra sobrepressão não permitida</t>
  </si>
  <si>
    <t>PTC2015 - Grelha de proteção</t>
  </si>
  <si>
    <t>PTC2016 - Isolamento</t>
  </si>
  <si>
    <t>PTC2017 - Localização dos dispositivos de proteção</t>
  </si>
  <si>
    <t>PTC2018 - Dispositivos para desligamento e proteção</t>
  </si>
  <si>
    <t>PTC2019 - Conduta em situações de perigo e acidentes</t>
  </si>
  <si>
    <t>PTC2020 - Estados operacionais</t>
  </si>
  <si>
    <t>PTC2021 - Máquina desbloqueada</t>
  </si>
  <si>
    <t>PTC2022 - Estado operacional desligado</t>
  </si>
  <si>
    <t>PTC2023 - Estado operacional ligado</t>
  </si>
  <si>
    <t>PTC2024 - Recipiente pressurizado</t>
  </si>
  <si>
    <t>PTC2025 - Riscos residuais</t>
  </si>
  <si>
    <t>PTC3 - Estrutura e funcionamento</t>
  </si>
  <si>
    <t>PTC3001 - Sistema de limpeza</t>
  </si>
  <si>
    <t>PTC3002 - Tanques (área CR72, CR73, CR74, CR75)</t>
  </si>
  <si>
    <t>PTC3003 - Estação de dosagem de concentrado de produto de limpeza</t>
  </si>
  <si>
    <t>PTC3004 - Alimentação área CR69 e CR70</t>
  </si>
  <si>
    <t>PTC3009 - Tanque de produtos de limpeza (Área CR70)</t>
  </si>
  <si>
    <t>PTC3011 - Circuito de vapor (área CR70)</t>
  </si>
  <si>
    <t>PTC3012 - Distribuidor (área CR70)</t>
  </si>
  <si>
    <t>PTC3014 - Alimentação de água quente ao enxágue da tampadora</t>
  </si>
  <si>
    <t>PTC3015 - Abastecimento de ar de controle</t>
  </si>
  <si>
    <t>PTC3019 - Bomba de retorno (área CR79)</t>
  </si>
  <si>
    <t>PTC3020 - Dispositivos de aviso</t>
  </si>
  <si>
    <t>PTC3021 - Dispositivos de comando</t>
  </si>
  <si>
    <t>PTC3022 - Console de operação</t>
  </si>
  <si>
    <t>PTC3023 - Interface gráfica do usuário</t>
  </si>
  <si>
    <t>PTC3024 - Tela principal</t>
  </si>
  <si>
    <t>PTC3025 - Favoritos</t>
  </si>
  <si>
    <t>PTC3026 - Logon e logoff</t>
  </si>
  <si>
    <t>PTC3027 - Menu principal</t>
  </si>
  <si>
    <t>PTC3028 - Sistema de limpeza</t>
  </si>
  <si>
    <t>PTC3029 - Posto de trabalho</t>
  </si>
  <si>
    <t>PTC3031 - Tecnologia de medição, controle e regulagem</t>
  </si>
  <si>
    <t>PTC3032 - Armário de distribuição</t>
  </si>
  <si>
    <t>PTC3033 - Comando da máquina</t>
  </si>
  <si>
    <t>PTC3034 - Comando da limpeza</t>
  </si>
  <si>
    <t>PTC3035 - Sistema pneumático</t>
  </si>
  <si>
    <t>PTC3036 - Parte elétrica</t>
  </si>
  <si>
    <t>PTC4 - Montagem</t>
  </si>
  <si>
    <t>PTC4001 - Avisos de segurança</t>
  </si>
  <si>
    <t>PTC4002 - Verificar o volume de fornecimento e executar a inspeção de entrega</t>
  </si>
  <si>
    <t>PTC4003 - Transporte</t>
  </si>
  <si>
    <t>PTC4004 - Montar</t>
  </si>
  <si>
    <t>PTC4005 - Ligar</t>
  </si>
  <si>
    <t>PTC4006 - Colocar em funcionamento</t>
  </si>
  <si>
    <t>PTC4007 - Desligar</t>
  </si>
  <si>
    <t>PTC4008 - Armazenamento</t>
  </si>
  <si>
    <t>PTC4009 - Descarte</t>
  </si>
  <si>
    <t>PTC5 - Operação</t>
  </si>
  <si>
    <t>PTC5001 - Avisos de segurança</t>
  </si>
  <si>
    <t>PTC5002 - Dispositivos de proteção</t>
  </si>
  <si>
    <t>PTC5003 - Botão de parada de emergência</t>
  </si>
  <si>
    <t>PTC5004 - Dispositivos de aviso</t>
  </si>
  <si>
    <t>PTC5005 - Luzes de sinalização</t>
  </si>
  <si>
    <t>PTC5006 - Sirene de aviso</t>
  </si>
  <si>
    <t>PTC5007 - Dispositivos de comando</t>
  </si>
  <si>
    <t>PTC5010 - Painel de controlo</t>
  </si>
  <si>
    <t>PTC5011 - Botões</t>
  </si>
  <si>
    <t>PTC5014 - Interruptor principal</t>
  </si>
  <si>
    <t>PTC5015 - Válvulas de bloqueio manual</t>
  </si>
  <si>
    <t>PTC5016 - Distribuidor</t>
  </si>
  <si>
    <t>PTC5019 - Seletor na limpeza dos camiões cisterna</t>
  </si>
  <si>
    <t>PTC5020 - Estabelecer prontidão operacional</t>
  </si>
  <si>
    <t>PTC5021 - Abrir e configurar a alimentação do ar controlado</t>
  </si>
  <si>
    <t>PTC5022 - Ligar a alimentação de tensão</t>
  </si>
  <si>
    <t>PTC5023 - Ligar tensão de comando</t>
  </si>
  <si>
    <t>PTC5025 - Preparar a máquina</t>
  </si>
  <si>
    <t>PTC5026 - Limpeza de máquinas/sistemas externos</t>
  </si>
  <si>
    <t>PTC5027 - Limpeza das máquinas/dos sistemas externos</t>
  </si>
  <si>
    <t>PTC5028 - Avisos de segurança</t>
  </si>
  <si>
    <t>PTC5029 - Lista de pequenas intervenções</t>
  </si>
  <si>
    <t>PTC5030 - Requisitos</t>
  </si>
  <si>
    <t>PTC5031 - Preparar</t>
  </si>
  <si>
    <t>PTC5032 - Executar</t>
  </si>
  <si>
    <t>PTC5033 - Encerrar</t>
  </si>
  <si>
    <t>PTC5034 - Efetuar o enxágue com água quente</t>
  </si>
  <si>
    <t>PTC5035 - Limpeza do sistema CIP</t>
  </si>
  <si>
    <t>PTC5036 - Avisos de segurança</t>
  </si>
  <si>
    <t>PTC5037 - Requisitos</t>
  </si>
  <si>
    <t>PTC5038 - Preparar</t>
  </si>
  <si>
    <t>PTC5039 - Executar</t>
  </si>
  <si>
    <t>PTC5040 - Encerrar</t>
  </si>
  <si>
    <t>PTC5044 - Cancelar prontidão operacional</t>
  </si>
  <si>
    <t>PTC5047 - Processar posteriormente a máquina</t>
  </si>
  <si>
    <t>PTC5049 - Desligar a tensão de comando</t>
  </si>
  <si>
    <t>PTC5050 - Desligar a alimentação de tensão</t>
  </si>
  <si>
    <t>PTC5051 - Fechar a alimentação de ar de controle</t>
  </si>
  <si>
    <t>PTC6 - Manutenção</t>
  </si>
  <si>
    <t>PTC6001 - Observar as normas</t>
  </si>
  <si>
    <t>PTC6002 - Desconectar e proteger</t>
  </si>
  <si>
    <t>PTC6003 - Esvaziar máquina</t>
  </si>
  <si>
    <t>PTC6005 - Encher a máquina com água</t>
  </si>
  <si>
    <t>PTC6006 - Manutenção preventiva</t>
  </si>
  <si>
    <t>PTC6007 - Avisos de segurança</t>
  </si>
  <si>
    <t>PTC6008 - Instruções sobre as práticas de manutenção preventiva</t>
  </si>
  <si>
    <t>PTC6009 - Condições prévias</t>
  </si>
  <si>
    <t>PTC6010 - Preparar</t>
  </si>
  <si>
    <t>PTC6011 - Plano de manutenção preventiva</t>
  </si>
  <si>
    <t>PTC6012 - Verificar o funcionamento interruptor de parada de emergência</t>
  </si>
  <si>
    <t>PTC6013 - Fazer a manutenção do recipiente pressurizado</t>
  </si>
  <si>
    <t>PTC6014 - Executar teste de lâmpadas</t>
  </si>
  <si>
    <t>PTC6017 - Vistoriar as vedações</t>
  </si>
  <si>
    <t>PTC6018 - Apertar as uniões roscadas da tubulação de leite</t>
  </si>
  <si>
    <t>PTC6019 - Manutenção de peças adquiridas</t>
  </si>
  <si>
    <t>PTC6020 - Limpar superfícies</t>
  </si>
  <si>
    <t>PTC6021 - Reparo</t>
  </si>
  <si>
    <t>PTC7 - Falhas</t>
  </si>
  <si>
    <t>PTC7001 - Avisos de segurança</t>
  </si>
  <si>
    <t>PTC7002 - Detectar</t>
  </si>
  <si>
    <t>PTC7003 - Eliminar</t>
  </si>
  <si>
    <t>PTC8 - Dados técnicos</t>
  </si>
  <si>
    <t>PTC8001 - Condições ambientais</t>
  </si>
  <si>
    <t>PTC8002 - Requisitos para fluidos</t>
  </si>
  <si>
    <t>PTC8007 - Explicação de termos</t>
  </si>
  <si>
    <t>PTC8008 - Água</t>
  </si>
  <si>
    <t>PTC8009 - Ar</t>
  </si>
  <si>
    <t>PTC8010 - Vapor</t>
  </si>
  <si>
    <t>PTC8011 - Recomendações de limpeza</t>
  </si>
  <si>
    <t>PTC8012 - Higiene do ambiente (piso, paredes, ralos, esteiras)</t>
  </si>
  <si>
    <t>PTC8013 - Limpeza externa: máquinas selecionadas</t>
  </si>
  <si>
    <t>PTC8014 - Passivação</t>
  </si>
  <si>
    <t>PTC8015 - Operação</t>
  </si>
  <si>
    <t>PTC8016 - Dados da máquina</t>
  </si>
  <si>
    <t>PTC8017 - Dados de alimentação</t>
  </si>
  <si>
    <t>PTC8018 - Quantidades de escoamento das máquinas</t>
  </si>
  <si>
    <t>PTC8019 - Valores de ajuste</t>
  </si>
  <si>
    <t>PTC8020 - Emissão de ruído</t>
  </si>
  <si>
    <t>PTC8021 - Manutenção</t>
  </si>
  <si>
    <t>PTC8022 - Identificação dos dispositivos para desligamento e proteção</t>
  </si>
  <si>
    <t>PTC8023 - Compatibilidades dos materiais</t>
  </si>
  <si>
    <t>PTC8025 - Características dos materiais de vedação</t>
  </si>
  <si>
    <t>PTC8026 - Certificados</t>
  </si>
  <si>
    <t>PTC8027 - Declaração de conformidade CE</t>
  </si>
  <si>
    <t>PTC8028 - Plano de montagem</t>
  </si>
  <si>
    <t>PTC8033 - Fluxograma da tubulação e dos instrumentos (diagrama P&amp;ID)</t>
  </si>
  <si>
    <t>PTC8034 - Legenda</t>
  </si>
  <si>
    <t>PTC9 - Anexo</t>
  </si>
  <si>
    <t>x</t>
  </si>
  <si>
    <t>Informação geral</t>
  </si>
  <si>
    <t>Grupo alvo</t>
  </si>
  <si>
    <t>Notas sobre a documentação técnica</t>
  </si>
  <si>
    <t>atribuição máquina</t>
  </si>
  <si>
    <t>Componentes Integrados</t>
  </si>
  <si>
    <t>Atendimento ao Cliente</t>
  </si>
  <si>
    <t>direito autoral</t>
  </si>
  <si>
    <t>Notas sobre a leitura deste manual</t>
  </si>
  <si>
    <t>Informação de Segurança</t>
  </si>
  <si>
    <t>Finalidade de informações de segurança</t>
  </si>
  <si>
    <t>uso pretendido</t>
  </si>
  <si>
    <t>má utilização razoavelmente previsível</t>
  </si>
  <si>
    <t>Obrigações do operador</t>
  </si>
  <si>
    <t>necessidades de pessoal</t>
  </si>
  <si>
    <t>As áreas perigosas e identificação destas áreas</t>
  </si>
  <si>
    <t>sinais de proibição</t>
  </si>
  <si>
    <t>sinais obrigatórios</t>
  </si>
  <si>
    <t>Local de montagem de sinais</t>
  </si>
  <si>
    <t>Equipamento de segurança</t>
  </si>
  <si>
    <t>válvula de alívio para aliviar a pressão excessivamente elevada</t>
  </si>
  <si>
    <t>grade de protecção</t>
  </si>
  <si>
    <t>local de instalação de equipamentos de segurança</t>
  </si>
  <si>
    <t>Equipamento para desligar e garantir</t>
  </si>
  <si>
    <t>Conduta em situações perigosas e, no caso de um acidente</t>
  </si>
  <si>
    <t>estados de funcionamento</t>
  </si>
  <si>
    <t>máquina desenergizado</t>
  </si>
  <si>
    <t>Operando OFF estado</t>
  </si>
  <si>
    <t>Estado de funcionamento ON</t>
  </si>
  <si>
    <t>tanques de pressão</t>
  </si>
  <si>
    <t>riscos residuais</t>
  </si>
  <si>
    <t>sistema de limpeza</t>
  </si>
  <si>
    <t>Tanques (área de CR71, CR72, CR75)</t>
  </si>
  <si>
    <t>Detergente concentrado estação de dosagem</t>
  </si>
  <si>
    <t>Área CR69 e fornecimento CR70</t>
  </si>
  <si>
    <t>Detergente e circuito de vapor (CR70 área)</t>
  </si>
  <si>
    <t>Detergente e circuito de vapor (área CR69)</t>
  </si>
  <si>
    <t>Aquecedor de água fresca (área CR84)</t>
  </si>
  <si>
    <t>Aquecedor de água fresca (área CR83)</t>
  </si>
  <si>
    <t>circuito detergente (CR70 área)</t>
  </si>
  <si>
    <t>circuito de água quente (CR70 área)</t>
  </si>
  <si>
    <t>circuito de vapor (área CR70)</t>
  </si>
  <si>
    <t>Distribuidor (CR70 área)</t>
  </si>
  <si>
    <t>Distribuidor na alimentação primária para o PET máquina de enchimento (CR70 área)</t>
  </si>
  <si>
    <t>fornecimento de ar controle</t>
  </si>
  <si>
    <t>medição do consumo</t>
  </si>
  <si>
    <t>Medidor de vazão para água doce e água de serviço</t>
  </si>
  <si>
    <t>Medidor de fluxo de vapor</t>
  </si>
  <si>
    <t>de sinalização</t>
  </si>
  <si>
    <t>controles operacionais</t>
  </si>
  <si>
    <t>console do operador</t>
  </si>
  <si>
    <t>favoritos</t>
  </si>
  <si>
    <t>Entrando e fora</t>
  </si>
  <si>
    <t>O acesso remoto para o Serviço de Diagnóstico Remoto (Redis)</t>
  </si>
  <si>
    <t>Medição, controle e equipamentos de regulação</t>
  </si>
  <si>
    <t>armário de comando</t>
  </si>
  <si>
    <t>controle da máquina</t>
  </si>
  <si>
    <t>controle de limpeza</t>
  </si>
  <si>
    <t>Pneumática</t>
  </si>
  <si>
    <t>Instruções de segurança</t>
  </si>
  <si>
    <t>Verifique os itens incluídos na entrega e inspecionar o material</t>
  </si>
  <si>
    <t>Instalação</t>
  </si>
  <si>
    <t>Conexão</t>
  </si>
  <si>
    <t>comissionamento</t>
  </si>
  <si>
    <t>desactivação</t>
  </si>
  <si>
    <t>Disposição</t>
  </si>
  <si>
    <t>Botão de emergência</t>
  </si>
  <si>
    <t>lâmpada de controle</t>
  </si>
  <si>
    <t>buzina de sinal</t>
  </si>
  <si>
    <t>sistema de controlo de processo PlantiT</t>
  </si>
  <si>
    <t>teclado</t>
  </si>
  <si>
    <t>botoes</t>
  </si>
  <si>
    <t>[Redis] interruptor de chave</t>
  </si>
  <si>
    <t>interruptor principal</t>
  </si>
  <si>
    <t>Manual Válvulas</t>
  </si>
  <si>
    <t>distribuidor CIP</t>
  </si>
  <si>
    <t>Distribuidor na alimentação de mídia</t>
  </si>
  <si>
    <t>Seletor na Limpeza dos Camioes cisterna</t>
  </si>
  <si>
    <t>Preparação para a operação</t>
  </si>
  <si>
    <t>A abertura e definindo o fornecimento de ar de controle</t>
  </si>
  <si>
    <t>Ligar a fonte de alimentação</t>
  </si>
  <si>
    <t>Ligar a tensão de controle</t>
  </si>
  <si>
    <t>Ligar o gravador de dados</t>
  </si>
  <si>
    <t>Preparando a máquina</t>
  </si>
  <si>
    <t>Preparando a medição de consumo</t>
  </si>
  <si>
    <t>Máquinas de limpeza / sistemas externos</t>
  </si>
  <si>
    <t>Lista de Pequenas intervenções</t>
  </si>
  <si>
    <t>Pré-requisitos</t>
  </si>
  <si>
    <t>Preparação</t>
  </si>
  <si>
    <t>Execução</t>
  </si>
  <si>
    <t>produção terminando</t>
  </si>
  <si>
    <t>Distribuidor em CR70 circuito detergente</t>
  </si>
  <si>
    <t>Distribuidor em CR69 circuito detergente</t>
  </si>
  <si>
    <t>Tendo a máquina de operação</t>
  </si>
  <si>
    <t>Fechando o sistema de limpeza</t>
  </si>
  <si>
    <t>Fechando a medição de consumo</t>
  </si>
  <si>
    <t>preparação subsequente da máquina</t>
  </si>
  <si>
    <t>Desligar o gravador de dados</t>
  </si>
  <si>
    <t>Desligando a tensão de controle</t>
  </si>
  <si>
    <t>Desligar a fonte de alimentação</t>
  </si>
  <si>
    <t>Fechando o abastecimento de ar de comando</t>
  </si>
  <si>
    <t>manutenção</t>
  </si>
  <si>
    <t>Conformidade com os regulamentos</t>
  </si>
  <si>
    <t>Desligar e garantir</t>
  </si>
  <si>
    <t>Esvaziamento da máquina</t>
  </si>
  <si>
    <t>Esvaziamento áreas seguras</t>
  </si>
  <si>
    <t>Notas sobre práticas de manutenção</t>
  </si>
  <si>
    <t>requisitos</t>
  </si>
  <si>
    <t>Cronograma de manutenção</t>
  </si>
  <si>
    <t>Manutenção do tanque de pressão</t>
  </si>
  <si>
    <t>Realizar um teste de lâmpada</t>
  </si>
  <si>
    <t>Mantendo a sujeira recolha de filtro na alimentação primária</t>
  </si>
  <si>
    <t>Manutenção da sujidade recolha de filtro no retorno</t>
  </si>
  <si>
    <t>manter selos</t>
  </si>
  <si>
    <t>Aperte as juntas de tubo de leite</t>
  </si>
  <si>
    <t>Manter peças compradas</t>
  </si>
  <si>
    <t>limpeza de superfícies</t>
  </si>
  <si>
    <t>conserto</t>
  </si>
  <si>
    <t>Falhas, panes</t>
  </si>
  <si>
    <t>detectar falhas</t>
  </si>
  <si>
    <t>retificar falhas</t>
  </si>
  <si>
    <t>requisitos do ambiente</t>
  </si>
  <si>
    <t>requisitos de mídia</t>
  </si>
  <si>
    <t>Energia elétrica</t>
  </si>
  <si>
    <t>especificações da máquina</t>
  </si>
  <si>
    <t>dados de abastecimento</t>
  </si>
  <si>
    <t>Explicação dos termos</t>
  </si>
  <si>
    <t>limpeza recomendações</t>
  </si>
  <si>
    <t>Higiene da área circundante (chão, paredes, sulcos, cintos)</t>
  </si>
  <si>
    <t>Caudais para as máquinas</t>
  </si>
  <si>
    <t>Definições</t>
  </si>
  <si>
    <t>emissões de ruído</t>
  </si>
  <si>
    <t>Rotulagem de equipamento para desligar e garantir</t>
  </si>
  <si>
    <t>Compatibilidade de Materiais</t>
  </si>
  <si>
    <t>plano de instalação</t>
  </si>
  <si>
    <t>área CR69</t>
  </si>
  <si>
    <t>Tubagem e instrumentação diagrama (P &amp; ID)</t>
  </si>
  <si>
    <t>lenda</t>
  </si>
  <si>
    <t>lista de conexão de mídia</t>
  </si>
  <si>
    <t>Apêndice</t>
  </si>
  <si>
    <t>PTC3005 - Detergente e circuito de vapor (CR70 área)</t>
  </si>
  <si>
    <t>PTC3006 - Detergente e circuito de vapor (área CR69)</t>
  </si>
  <si>
    <t>PTC3007 - Aquecedor de água fresca (área CR84)</t>
  </si>
  <si>
    <t>PTC3008 - Aquecedor de água fresca (área CR83)</t>
  </si>
  <si>
    <t>PTC3013 - Distribuidor na alimentação primária para o PET máquina de enchimento (CR70 área)</t>
  </si>
  <si>
    <t>PTC3018 - Medidor de fluxo de vapor</t>
  </si>
  <si>
    <t>PTC5012 - [Redis] interruptor de chave</t>
  </si>
  <si>
    <t>PTC5018 - Distribuidor na alimentação de mídia</t>
  </si>
  <si>
    <t>PTC5045 - Fechando o sistema de limpeza</t>
  </si>
  <si>
    <t>PTC5046 - Fechando a medição de consumo</t>
  </si>
  <si>
    <t>PTC8003 - Energia elétrica</t>
  </si>
  <si>
    <t>PTC8004 - Operação</t>
  </si>
  <si>
    <t>PTC8024 - Detergente</t>
  </si>
  <si>
    <t>PTC8031 - Aquecedor de água fresca (área CR83)</t>
  </si>
  <si>
    <t>PTC8032 - Aquecedor de água fresca (área CR84)</t>
  </si>
  <si>
    <t>PTC2008 - Sinais de proibição</t>
  </si>
  <si>
    <t>PTC3010 - Circuito de água quente (CR70 área)</t>
  </si>
  <si>
    <t>PTC3016 - Medição de Consumo</t>
  </si>
  <si>
    <t>PTC3030 - Acesso remoto para o Serviço de Diagnóstico Remoto (Redis)</t>
  </si>
  <si>
    <t>PTC5008 - Sistema de controle de processo PlantiT</t>
  </si>
  <si>
    <t>PTC5009 - Teclado</t>
  </si>
  <si>
    <t>PTC5013 - Teclado</t>
  </si>
  <si>
    <t>PTC5017 - Distribuidor CIP</t>
  </si>
  <si>
    <t>PTC5024 - Ligando o gravador de dados</t>
  </si>
  <si>
    <t>PTC5041 - Preparando o distribuidor para a próxima produção</t>
  </si>
  <si>
    <t>PTC5042 - Distribuidor no circuito detergente CR70</t>
  </si>
  <si>
    <t>PTC5043 - Distribuidor no circuito detergente CR69</t>
  </si>
  <si>
    <t>PTC5048 - Desligando o gravador de dados</t>
  </si>
  <si>
    <t>PTC6004 - Esvaziamento de áreas seguras</t>
  </si>
  <si>
    <t>PTC6015 - Manutenção do filtro coletor de sujeira na alimentação primária</t>
  </si>
  <si>
    <t>PTC6016 - Manutenção do filtro coletor de sujeira no retorno</t>
  </si>
  <si>
    <t>PTC8005 - Especificações da máquina</t>
  </si>
  <si>
    <t>PTC8006 - Dados de abastecimento</t>
  </si>
  <si>
    <t>PTC8029 - Sistema de limpeza</t>
  </si>
  <si>
    <t>PTC8030 - Área CR69</t>
  </si>
  <si>
    <t>PTC3017 - Medidor de vazão para água fresca e água de serviço</t>
  </si>
  <si>
    <t>PTC8035 - Lista de conexões de mídia</t>
  </si>
  <si>
    <t>Innofill Glass DRS</t>
  </si>
  <si>
    <t>\\uac.xorb.net\vdfs\Anwendungen\Dokumentation\Kundenprojekte\Dortmund\89407xxx\894074xx\89407406_Aguascalientes\BA_Betriebsanleitungen\BA_89407406_000100__Innofill Glasflaschenfüllmaschine_ES_01.pdf</t>
  </si>
  <si>
    <t xml:space="preserve"> Información general</t>
  </si>
  <si>
    <t xml:space="preserve"> Grupo de destino</t>
  </si>
  <si>
    <t xml:space="preserve"> Indicaciones sobre la documentación técnica</t>
  </si>
  <si>
    <t xml:space="preserve"> Asignación de las máquinas</t>
  </si>
  <si>
    <t xml:space="preserve"> Componentes integrados</t>
  </si>
  <si>
    <t xml:space="preserve"> Servicio de atención al cliente</t>
  </si>
  <si>
    <t xml:space="preserve"> Protección de la propiedad intelectual</t>
  </si>
  <si>
    <t xml:space="preserve"> Indicaciones para la lectura </t>
  </si>
  <si>
    <t xml:space="preserve"> Seguridad</t>
  </si>
  <si>
    <t xml:space="preserve"> Función de las indicaciones de seguridad</t>
  </si>
  <si>
    <t xml:space="preserve"> Utilización conforme al uso previsto</t>
  </si>
  <si>
    <t xml:space="preserve"> Mal uso razonablemente previsible</t>
  </si>
  <si>
    <t xml:space="preserve"> Obligaciones del explotador</t>
  </si>
  <si>
    <t xml:space="preserve"> Requerimientos respecto del personal</t>
  </si>
  <si>
    <t xml:space="preserve"> Equipamiento de protección</t>
  </si>
  <si>
    <t xml:space="preserve"> Áreas de peligro y su señalización</t>
  </si>
  <si>
    <t xml:space="preserve"> Símbolos de prohibición</t>
  </si>
  <si>
    <t xml:space="preserve"> Símbolos de advertencia</t>
  </si>
  <si>
    <t xml:space="preserve"> Símbolos de obligación</t>
  </si>
  <si>
    <t xml:space="preserve"> Lugar de colocación de las identificaciones</t>
  </si>
  <si>
    <t xml:space="preserve"> Dispositivos de protección</t>
  </si>
  <si>
    <t xml:space="preserve"> Revestimiento de la máquina</t>
  </si>
  <si>
    <t xml:space="preserve"> Interruptor de puerta con mecanismo de bloqueo</t>
  </si>
  <si>
    <t xml:space="preserve"> Desbloqueo antipánico</t>
  </si>
  <si>
    <t xml:space="preserve"> Interruptor de parada de emergencia</t>
  </si>
  <si>
    <t xml:space="preserve"> Válvula de seguridad</t>
  </si>
  <si>
    <t xml:space="preserve"> Dispositivo de enganche para seguro contra caídas</t>
  </si>
  <si>
    <t xml:space="preserve"> Lugar de montaje de los dispositivos de protección</t>
  </si>
  <si>
    <t xml:space="preserve"> Dispositivos para separar de las fuentes de energía y asegurar</t>
  </si>
  <si>
    <t xml:space="preserve"> Comportamiento en caso de situaciones de peligro y accidentes</t>
  </si>
  <si>
    <t xml:space="preserve"> Estados operativos y modos operativos</t>
  </si>
  <si>
    <t xml:space="preserve"> Máquina desconectada de las fuentes de energía</t>
  </si>
  <si>
    <t xml:space="preserve"> Estado operativo DESC</t>
  </si>
  <si>
    <t xml:space="preserve"> Estado operativo CON</t>
  </si>
  <si>
    <t xml:space="preserve"> Depósitos de presión y tuberías</t>
  </si>
  <si>
    <t xml:space="preserve"> Peligros residuales</t>
  </si>
  <si>
    <t xml:space="preserve"> Estructura y función</t>
  </si>
  <si>
    <t xml:space="preserve"> Máquina llenadora de botellas de vidrio y tapadora</t>
  </si>
  <si>
    <t xml:space="preserve"> Flujo de botellas</t>
  </si>
  <si>
    <t xml:space="preserve"> Transporte de botellas</t>
  </si>
  <si>
    <t xml:space="preserve"> Temporización</t>
  </si>
  <si>
    <t xml:space="preserve"> Nodo de válvulas</t>
  </si>
  <si>
    <t xml:space="preserve"> Parte inferior de la llenadora</t>
  </si>
  <si>
    <t xml:space="preserve"> Parte superior de la llenadora</t>
  </si>
  <si>
    <t xml:space="preserve"> Válvula de llenado</t>
  </si>
  <si>
    <t xml:space="preserve"> Control "Botella reventada"</t>
  </si>
  <si>
    <t xml:space="preserve"> Rociado para remoción de fragmentos de vidrio</t>
  </si>
  <si>
    <t xml:space="preserve"> Tapadora de tapas corona</t>
  </si>
  <si>
    <t xml:space="preserve"> Ducha de botellas</t>
  </si>
  <si>
    <t xml:space="preserve"> Rociado de la tapadora</t>
  </si>
  <si>
    <t xml:space="preserve"> Rociado con agua</t>
  </si>
  <si>
    <t xml:space="preserve"> Limpieza exterior automática</t>
  </si>
  <si>
    <t xml:space="preserve"> Dispositivos de aviso</t>
  </si>
  <si>
    <t xml:space="preserve"> Lugares de trabajo</t>
  </si>
  <si>
    <t xml:space="preserve"> Dispositivos de mando</t>
  </si>
  <si>
    <t xml:space="preserve"> Panel de mando</t>
  </si>
  <si>
    <t xml:space="preserve"> Interfaz de operación gráfica</t>
  </si>
  <si>
    <t xml:space="preserve"> Ventana principal</t>
  </si>
  <si>
    <t xml:space="preserve"> Favoritos</t>
  </si>
  <si>
    <t xml:space="preserve"> Inicio y cierre de sesión</t>
  </si>
  <si>
    <t xml:space="preserve"> Menú principal</t>
  </si>
  <si>
    <t xml:space="preserve"> Máquina llenadora completa</t>
  </si>
  <si>
    <t xml:space="preserve"> Llenadora</t>
  </si>
  <si>
    <t xml:space="preserve"> Tapadora</t>
  </si>
  <si>
    <t xml:space="preserve"> Acceso remoto Remote Diagnostic Service (ReDiS)</t>
  </si>
  <si>
    <t xml:space="preserve"> Tecnología de medición, control y regulación</t>
  </si>
  <si>
    <t xml:space="preserve"> Armario de distribución</t>
  </si>
  <si>
    <t xml:space="preserve"> Tecnología de medición</t>
  </si>
  <si>
    <t xml:space="preserve"> Tecnología de control</t>
  </si>
  <si>
    <t xml:space="preserve"> Tecnología de regulación</t>
  </si>
  <si>
    <t xml:space="preserve"> Sistema neumático</t>
  </si>
  <si>
    <t xml:space="preserve"> Forma de trabajo energéticamente eficiente</t>
  </si>
  <si>
    <t xml:space="preserve"> Montaje</t>
  </si>
  <si>
    <t xml:space="preserve"> Verificación del volumen de suministro y realización de la inspección del transporte</t>
  </si>
  <si>
    <t xml:space="preserve"> Transportar</t>
  </si>
  <si>
    <t xml:space="preserve"> Montar</t>
  </si>
  <si>
    <t xml:space="preserve"> Conexión</t>
  </si>
  <si>
    <t xml:space="preserve"> Puesta en servicio</t>
  </si>
  <si>
    <t xml:space="preserve"> Puesta fuera de servicio</t>
  </si>
  <si>
    <t xml:space="preserve"> Almacenamiento</t>
  </si>
  <si>
    <t xml:space="preserve"> Restablecimiento del servicio</t>
  </si>
  <si>
    <t xml:space="preserve"> Eliminación de desechos</t>
  </si>
  <si>
    <t xml:space="preserve"> Funcionamiento</t>
  </si>
  <si>
    <t xml:space="preserve"> Indicaciones de seguridad</t>
  </si>
  <si>
    <t xml:space="preserve"> Parada de emergencia</t>
  </si>
  <si>
    <t xml:space="preserve"> Abrir y cerrar las puertas del revestimiento de la máquina</t>
  </si>
  <si>
    <t xml:space="preserve"> Piloto</t>
  </si>
  <si>
    <t xml:space="preserve"> Bocina</t>
  </si>
  <si>
    <t xml:space="preserve"> Luz de advertencia del cilindro elevador</t>
  </si>
  <si>
    <t xml:space="preserve"> Advertencia de arranque</t>
  </si>
  <si>
    <t xml:space="preserve"> Botoneras de mando</t>
  </si>
  <si>
    <t xml:space="preserve"> Llave de seguridad</t>
  </si>
  <si>
    <t xml:space="preserve"> Interruptor principal</t>
  </si>
  <si>
    <t xml:space="preserve"> Modo paso a paso</t>
  </si>
  <si>
    <t xml:space="preserve"> Establecer la disposición de servicio</t>
  </si>
  <si>
    <t xml:space="preserve"> Producción</t>
  </si>
  <si>
    <t xml:space="preserve"> Requisitos preliminares</t>
  </si>
  <si>
    <t xml:space="preserve"> Preparar la llenadora</t>
  </si>
  <si>
    <t xml:space="preserve"> Iniciar la producción</t>
  </si>
  <si>
    <t xml:space="preserve"> Monitorear</t>
  </si>
  <si>
    <t xml:space="preserve"> Tomar una muestra del producto</t>
  </si>
  <si>
    <t xml:space="preserve"> Interrumpir producción</t>
  </si>
  <si>
    <t xml:space="preserve"> Lavado intermedio</t>
  </si>
  <si>
    <t xml:space="preserve"> Finalizar la producción</t>
  </si>
  <si>
    <t xml:space="preserve"> Limpieza</t>
  </si>
  <si>
    <t xml:space="preserve"> Preparar</t>
  </si>
  <si>
    <t xml:space="preserve"> Ejecución Llenadora</t>
  </si>
  <si>
    <t xml:space="preserve"> Limpiar los accesorios</t>
  </si>
  <si>
    <t xml:space="preserve"> Limpieza exterior de la máquina</t>
  </si>
  <si>
    <t xml:space="preserve"> Iniciar limpieza exterior automática</t>
  </si>
  <si>
    <t xml:space="preserve"> Equipar</t>
  </si>
  <si>
    <t xml:space="preserve"> Vaciar</t>
  </si>
  <si>
    <t xml:space="preserve"> Ajustar la altura de limpieza</t>
  </si>
  <si>
    <t xml:space="preserve"> Cambio de las piezas de formato</t>
  </si>
  <si>
    <t xml:space="preserve"> Limpieza CIP</t>
  </si>
  <si>
    <t xml:space="preserve"> Ajustar la altura de producción</t>
  </si>
  <si>
    <t xml:space="preserve"> Limpieza exterior</t>
  </si>
  <si>
    <t xml:space="preserve"> Tareas de seguimiento</t>
  </si>
  <si>
    <t xml:space="preserve"> Suprimir la disposición de servicio</t>
  </si>
  <si>
    <t xml:space="preserve"> Mantenimiento y reparación</t>
  </si>
  <si>
    <t xml:space="preserve"> Indicaciones para los trabajos de mantenimiento y reparación</t>
  </si>
  <si>
    <t xml:space="preserve"> Observar las prescripciones</t>
  </si>
  <si>
    <t xml:space="preserve"> Modo operativo Ajuste</t>
  </si>
  <si>
    <t xml:space="preserve"> Separar y asegurar</t>
  </si>
  <si>
    <t xml:space="preserve"> Vaciar la máquina</t>
  </si>
  <si>
    <t xml:space="preserve"> Mantenimiento</t>
  </si>
  <si>
    <t xml:space="preserve"> Indicaciones de mantenimiento</t>
  </si>
  <si>
    <t xml:space="preserve"> Mantener las juntas</t>
  </si>
  <si>
    <t xml:space="preserve"> Plan de mantenimiento</t>
  </si>
  <si>
    <t xml:space="preserve"> Esquema de lubricación</t>
  </si>
  <si>
    <t xml:space="preserve"> Instrucciones de limpieza</t>
  </si>
  <si>
    <t xml:space="preserve"> Reparación</t>
  </si>
  <si>
    <t xml:space="preserve"> Interruptor de reparación del transportador</t>
  </si>
  <si>
    <t xml:space="preserve"> Pares de apriete</t>
  </si>
  <si>
    <t xml:space="preserve"> Sustituir sinfín de entrada</t>
  </si>
  <si>
    <t xml:space="preserve"> Ajustar el sinfín de entrada</t>
  </si>
  <si>
    <t xml:space="preserve"> Cambiar los listones deslizantes</t>
  </si>
  <si>
    <t xml:space="preserve"> Lubricación central</t>
  </si>
  <si>
    <t xml:space="preserve"> Accionamiento</t>
  </si>
  <si>
    <t xml:space="preserve"> Cilindro elevador</t>
  </si>
  <si>
    <t xml:space="preserve"> Cambiar junta del casquillo de enjuague</t>
  </si>
  <si>
    <t xml:space="preserve"> Amortiguador acústico de filtro del grupo de mantenimiento</t>
  </si>
  <si>
    <t xml:space="preserve"> Cambio de una válvula de proceso</t>
  </si>
  <si>
    <t xml:space="preserve"> Ajuste de altura</t>
  </si>
  <si>
    <t xml:space="preserve"> Cambio de junta en el brazo articulado</t>
  </si>
  <si>
    <t xml:space="preserve"> Limpiar el colector de suciedad</t>
  </si>
  <si>
    <t xml:space="preserve"> Fallas</t>
  </si>
  <si>
    <t xml:space="preserve"> Modo operativo Teleservicio</t>
  </si>
  <si>
    <t xml:space="preserve"> Indicadores</t>
  </si>
  <si>
    <t xml:space="preserve"> Visualización de fallas con el piloto</t>
  </si>
  <si>
    <t xml:space="preserve"> Fallos y advertencias en el panel de operación</t>
  </si>
  <si>
    <t xml:space="preserve"> Visualizaciones de fallas en la pantalla de vista general</t>
  </si>
  <si>
    <t xml:space="preserve"> Subsanar</t>
  </si>
  <si>
    <t xml:space="preserve"> Eliminar los avisos de fallas de la pantalla de vista sinóptica</t>
  </si>
  <si>
    <t xml:space="preserve"> Sistema maestro DP/Profibus</t>
  </si>
  <si>
    <t xml:space="preserve"> Averías en la parte eléctrica</t>
  </si>
  <si>
    <t xml:space="preserve"> Fallas en el servoaccionamiento</t>
  </si>
  <si>
    <t xml:space="preserve"> Nodo de válvulas de la llenadora</t>
  </si>
  <si>
    <t xml:space="preserve"> Datos técnicos</t>
  </si>
  <si>
    <t xml:space="preserve"> Requerimientos respecto de los medios</t>
  </si>
  <si>
    <t xml:space="preserve"> Datos de la máquina</t>
  </si>
  <si>
    <t xml:space="preserve"> Esquema de tuberías</t>
  </si>
  <si>
    <t xml:space="preserve"> Emisiones acústicas</t>
  </si>
  <si>
    <t xml:space="preserve"> Datos técnicos de llenado</t>
  </si>
  <si>
    <t xml:space="preserve"> Valores de ajuste</t>
  </si>
  <si>
    <t xml:space="preserve"> Lubricantes</t>
  </si>
  <si>
    <t xml:space="preserve"> Identificación de los puntos de lubricación</t>
  </si>
  <si>
    <t xml:space="preserve"> Identificación de los dispositivos para separar de las fuentes de energía y asegurar</t>
  </si>
  <si>
    <t xml:space="preserve"> Productos de limpieza</t>
  </si>
  <si>
    <t xml:space="preserve"> Apéndice</t>
  </si>
  <si>
    <t>\\uac.xorb.net\vdfs\Anwendungen\Dokumentation\Kundenprojekte\Dortmund\89406xxx\894068xx\89406826_Espinardo\BA_Betriebsanleitungen\BA_89406826_000200__Innofill Glasflaschenfüllmaschine_ES_01.pdf</t>
  </si>
  <si>
    <t xml:space="preserve"> Generalidades</t>
  </si>
  <si>
    <t xml:space="preserve"> Grupo destinatario</t>
  </si>
  <si>
    <t xml:space="preserve"> Notas sobre la documentación técnica</t>
  </si>
  <si>
    <t xml:space="preserve"> Uso conforme a lo previsto</t>
  </si>
  <si>
    <t xml:space="preserve"> Uso indebido previsible dentro de lo razonable</t>
  </si>
  <si>
    <t xml:space="preserve"> Obligaciones de la empresa usuaria</t>
  </si>
  <si>
    <t xml:space="preserve"> Requisitos para el personal</t>
  </si>
  <si>
    <t xml:space="preserve"> Equipos de protección personal</t>
  </si>
  <si>
    <t xml:space="preserve"> Zonas de peligro y su identificación</t>
  </si>
  <si>
    <t xml:space="preserve"> Señales de prohibición</t>
  </si>
  <si>
    <t xml:space="preserve"> Señales de advertencia</t>
  </si>
  <si>
    <t xml:space="preserve"> Señales de obligatoriedad</t>
  </si>
  <si>
    <t xml:space="preserve"> Lugar de colocación de las señales</t>
  </si>
  <si>
    <t xml:space="preserve"> Interruptor de puerta con bloqueo</t>
  </si>
  <si>
    <t xml:space="preserve"> Desbloqueo para salida de emergencia</t>
  </si>
  <si>
    <t xml:space="preserve"> Dispositivo de sujeción de la protección contra caídas</t>
  </si>
  <si>
    <t xml:space="preserve"> Dispositivos para desconexión y aseguramiento</t>
  </si>
  <si>
    <t xml:space="preserve"> Procedimiento en caso de situaciones de peligro y accidentes</t>
  </si>
  <si>
    <t xml:space="preserve"> Máquina desconectada</t>
  </si>
  <si>
    <t xml:space="preserve"> Estado operativo de desconexión</t>
  </si>
  <si>
    <t xml:space="preserve"> Estado operativo de conexión</t>
  </si>
  <si>
    <t xml:space="preserve"> Recipientes a presión y tuberías</t>
  </si>
  <si>
    <t xml:space="preserve"> Estructura y funcionamiento</t>
  </si>
  <si>
    <t xml:space="preserve"> Llenadora de botellas de vidrio y taponadora</t>
  </si>
  <si>
    <t xml:space="preserve"> Transportador de botellas</t>
  </si>
  <si>
    <t xml:space="preserve"> Pulsación</t>
  </si>
  <si>
    <t xml:space="preserve"> Terminal de válvulas</t>
  </si>
  <si>
    <t xml:space="preserve"> Bomba de vacío</t>
  </si>
  <si>
    <t xml:space="preserve"> Control "Estallido de botella"</t>
  </si>
  <si>
    <t xml:space="preserve"> Eliminación de fragmentos</t>
  </si>
  <si>
    <t xml:space="preserve"> Inyección a alta presión</t>
  </si>
  <si>
    <t xml:space="preserve"> Taponadora de tapones corona</t>
  </si>
  <si>
    <t xml:space="preserve"> Rociado del dispositivo de cierre</t>
  </si>
  <si>
    <t xml:space="preserve"> Puestos de trabajo y dispositivos de mando</t>
  </si>
  <si>
    <t xml:space="preserve"> Dispositivos de notificación</t>
  </si>
  <si>
    <t xml:space="preserve"> Panel de control</t>
  </si>
  <si>
    <t xml:space="preserve"> Lado delantero</t>
  </si>
  <si>
    <t xml:space="preserve"> Parte posterior</t>
  </si>
  <si>
    <t xml:space="preserve"> Interfaz gráfica de usuario</t>
  </si>
  <si>
    <t xml:space="preserve"> Llenadora completa</t>
  </si>
  <si>
    <t xml:space="preserve"> Taponadora</t>
  </si>
  <si>
    <t xml:space="preserve"> Técnica de medición</t>
  </si>
  <si>
    <t xml:space="preserve"> Técnica de control</t>
  </si>
  <si>
    <t xml:space="preserve"> Técnica de regulación</t>
  </si>
  <si>
    <t xml:space="preserve"> Trabajo con eficiencia energética</t>
  </si>
  <si>
    <t xml:space="preserve"> Comprobación del alcance de suministro e inspección de transporte</t>
  </si>
  <si>
    <t xml:space="preserve"> Transporte</t>
  </si>
  <si>
    <t xml:space="preserve"> Nueva puesta en servicio</t>
  </si>
  <si>
    <t xml:space="preserve"> Eliminación</t>
  </si>
  <si>
    <t xml:space="preserve"> Apertura y cierre de las puertas del revestimiento de la máquina</t>
  </si>
  <si>
    <t xml:space="preserve"> Lámpara de señalización</t>
  </si>
  <si>
    <t xml:space="preserve"> Barras de herramientas</t>
  </si>
  <si>
    <t xml:space="preserve"> Marcha paso a paso</t>
  </si>
  <si>
    <t xml:space="preserve"> Preparación para el funcionamiento</t>
  </si>
  <si>
    <t xml:space="preserve"> Requisitos</t>
  </si>
  <si>
    <t xml:space="preserve"> Preparación de la llenadora</t>
  </si>
  <si>
    <t xml:space="preserve"> Inicio de la producción</t>
  </si>
  <si>
    <t xml:space="preserve"> Supervisión</t>
  </si>
  <si>
    <t xml:space="preserve"> Toma de muestras de producto</t>
  </si>
  <si>
    <t xml:space="preserve"> Interrupción de la producción</t>
  </si>
  <si>
    <t xml:space="preserve"> Finalización de la producción</t>
  </si>
  <si>
    <t xml:space="preserve"> Preparación</t>
  </si>
  <si>
    <t xml:space="preserve"> Ejecución</t>
  </si>
  <si>
    <t xml:space="preserve"> Limpieza de los accesorios</t>
  </si>
  <si>
    <t xml:space="preserve"> Inicio de la limpieza exterior automática</t>
  </si>
  <si>
    <t xml:space="preserve"> Cambio de formato</t>
  </si>
  <si>
    <t xml:space="preserve"> Vaciado</t>
  </si>
  <si>
    <t xml:space="preserve"> Ajuste de la altura de limpieza</t>
  </si>
  <si>
    <t xml:space="preserve"> Cambio de piezas de formato</t>
  </si>
  <si>
    <t xml:space="preserve"> Sistema de rociado de botellas</t>
  </si>
  <si>
    <t xml:space="preserve"> Ajuste de la altura de producción</t>
  </si>
  <si>
    <t xml:space="preserve"> Tareas posteriores</t>
  </si>
  <si>
    <t xml:space="preserve"> Anulación del funcionamiento de la máquina</t>
  </si>
  <si>
    <t xml:space="preserve"> Conservación</t>
  </si>
  <si>
    <t xml:space="preserve"> Observancia de las prescripciones</t>
  </si>
  <si>
    <t xml:space="preserve"> Desconexión y aseguramiento</t>
  </si>
  <si>
    <t xml:space="preserve"> Vaciado de la máquina</t>
  </si>
  <si>
    <t xml:space="preserve"> Mantenimiento de las juntas</t>
  </si>
  <si>
    <t xml:space="preserve"> Plan de lubricación</t>
  </si>
  <si>
    <t xml:space="preserve"> Indicaciones de lubricación y limpieza</t>
  </si>
  <si>
    <t xml:space="preserve"> Sustitución del tornillo sinfín de entrada </t>
  </si>
  <si>
    <t xml:space="preserve"> Ajuste del tornillo sinfín de entrada </t>
  </si>
  <si>
    <t xml:space="preserve"> Cambio de los perfiles de deslizamiento</t>
  </si>
  <si>
    <t xml:space="preserve"> Sustitución de la junta del casquillo de lavado</t>
  </si>
  <si>
    <t xml:space="preserve"> Silenciador de filtro del grupo de mantenimiento</t>
  </si>
  <si>
    <t xml:space="preserve"> Sustitución de juntas en el brazo articulado</t>
  </si>
  <si>
    <t xml:space="preserve"> Averías</t>
  </si>
  <si>
    <t xml:space="preserve"> Indicaciones</t>
  </si>
  <si>
    <t xml:space="preserve"> Indicaciones de averías con la lámpara de señalización</t>
  </si>
  <si>
    <t xml:space="preserve"> Errores y advertencias del panel de control</t>
  </si>
  <si>
    <t xml:space="preserve"> Visualización de averías en la vista general</t>
  </si>
  <si>
    <t xml:space="preserve"> Solución</t>
  </si>
  <si>
    <t xml:space="preserve"> Resolución de mensajes de avería de la imagen de resumen</t>
  </si>
  <si>
    <t xml:space="preserve"> Averías en el área del sistema eléctrico</t>
  </si>
  <si>
    <t xml:space="preserve"> Averías en el servoaccionamiento</t>
  </si>
  <si>
    <t xml:space="preserve"> Terminal de válvulas de la llenadora</t>
  </si>
  <si>
    <t xml:space="preserve"> Requisitos de los fluidos</t>
  </si>
  <si>
    <t xml:space="preserve"> Explicación de conceptos</t>
  </si>
  <si>
    <t xml:space="preserve"> Agua</t>
  </si>
  <si>
    <t xml:space="preserve"> Aire</t>
  </si>
  <si>
    <t xml:space="preserve"> Gases presurizados</t>
  </si>
  <si>
    <t xml:space="preserve"> Vapor</t>
  </si>
  <si>
    <t xml:space="preserve"> Productos que se van a envasar</t>
  </si>
  <si>
    <t xml:space="preserve"> Recomendaciones para la limpieza</t>
  </si>
  <si>
    <t xml:space="preserve"> Planos de tuberías</t>
  </si>
  <si>
    <t xml:space="preserve"> Emisión de ruidos</t>
  </si>
  <si>
    <t xml:space="preserve"> Datos técnicos de la llenadora</t>
  </si>
  <si>
    <t xml:space="preserve"> Indicaciones sobre la identificación de los lubricantes</t>
  </si>
  <si>
    <t xml:space="preserve"> Certificación de los lubricantes</t>
  </si>
  <si>
    <t xml:space="preserve"> Identificación de los dispositivos para desconexión y aseguramiento</t>
  </si>
  <si>
    <t xml:space="preserve"> Valores límite para la limpieza de superficies</t>
  </si>
  <si>
    <t xml:space="preserve"> Certificados</t>
  </si>
  <si>
    <t xml:space="preserve"> Declaración de conformidad CE</t>
  </si>
  <si>
    <t xml:space="preserve"> Desbloqueo de emergencia</t>
  </si>
  <si>
    <t xml:space="preserve"> Puerta protectora en el techo de la sala blanca</t>
  </si>
  <si>
    <t xml:space="preserve"> Sala blanca</t>
  </si>
  <si>
    <t xml:space="preserve"> Medidas de higiene</t>
  </si>
  <si>
    <t xml:space="preserve"> Máquina de llenado de botellas de vidrio y dispositivo de cierre</t>
  </si>
  <si>
    <t xml:space="preserve"> Rociado de rosca</t>
  </si>
  <si>
    <t xml:space="preserve"> Dispositivo de cierre de chapas</t>
  </si>
  <si>
    <t xml:space="preserve"> Puestos de trabajo</t>
  </si>
  <si>
    <t xml:space="preserve"> Máquina de llenado completa</t>
  </si>
  <si>
    <t xml:space="preserve"> Dispositivo de cierre</t>
  </si>
  <si>
    <t xml:space="preserve"> Acceso a la sala blanca</t>
  </si>
  <si>
    <t xml:space="preserve"> Apertura de la puerta protectora</t>
  </si>
  <si>
    <t xml:space="preserve"> Luz de estado de la máquina</t>
  </si>
  <si>
    <t xml:space="preserve"> Interruptores de llave Fortress</t>
  </si>
  <si>
    <t xml:space="preserve"> Máquina a impulsos</t>
  </si>
  <si>
    <t xml:space="preserve"> Preparación de la sala blanca</t>
  </si>
  <si>
    <t xml:space="preserve"> Cambio de tipo</t>
  </si>
  <si>
    <t xml:space="preserve"> Indicaciones sobre las tareas de conservación</t>
  </si>
  <si>
    <t xml:space="preserve"> Sustitución de componentes del sistema neumático de seguridad</t>
  </si>
  <si>
    <t xml:space="preserve"> Cambio del caudalímetro de producto de llenado</t>
  </si>
  <si>
    <t xml:space="preserve"> Visualización de averías en la figura de resumen</t>
  </si>
  <si>
    <t xml:space="preserve"> Profibus / Sistema maestro DP</t>
  </si>
  <si>
    <t>\\uac.xorb.net\vdfs\Anwendungen\Dokumentation\Kundenprojekte\Dortmund\89406xxx\894067xx\89406711_La Rinconada\BA_Betriebsanleitungen\BA_89406711_000100__Innofill Glasflaschenfüllmaschine_ES_01.pdf</t>
  </si>
  <si>
    <t>\\uac.xorb.net\vdfs\Anwendungen\Dokumentation\Kundenprojekte\Dortmund\89406xxx\894065xx\89406523_Las Palmas\BA_Betriebsanleitungen\BA_89406523_000100__Innofill Glasflaschenfüllmaschine_ES_01.pdf</t>
  </si>
  <si>
    <t xml:space="preserve"> Cambio del modo operativo</t>
  </si>
  <si>
    <t xml:space="preserve"> Maquina de llenado y cierre de botellas de vidrio</t>
  </si>
  <si>
    <t xml:space="preserve"> Rociado con agua fresca</t>
  </si>
  <si>
    <t xml:space="preserve"> Impulsos</t>
  </si>
  <si>
    <t xml:space="preserve"> Ejecución de la llenadora</t>
  </si>
  <si>
    <t xml:space="preserve"> Indicación de averías en la imagen de resumen de la guía del operario</t>
  </si>
  <si>
    <t xml:space="preserve"> Enjuagadora</t>
  </si>
  <si>
    <t xml:space="preserve"> Medidas del arnés de seguridad</t>
  </si>
  <si>
    <t>Innofill Glass DPG</t>
  </si>
  <si>
    <t>\\uac.xorb.net\vdfs\Anwendungen\Dokumentation\Kundenprojekte\Dortmund\89406xxx\894064xx\89406414_Nava (Piedras Negras)\BA_Betriebsanleitungen\BA_89406414_000200__Innofill Glasflaschenfüllmaschine_ES_02.pdf</t>
  </si>
  <si>
    <t xml:space="preserve"> Asignación de la máquina</t>
  </si>
  <si>
    <t xml:space="preserve"> Bloqueo manual del bloqueador de botellas</t>
  </si>
  <si>
    <t xml:space="preserve"> Dispositivo de enganche, seguro contra caídas</t>
  </si>
  <si>
    <t xml:space="preserve"> Válvula de llenado y control</t>
  </si>
  <si>
    <t xml:space="preserve"> Inyección de alta presión</t>
  </si>
  <si>
    <t xml:space="preserve"> Rociado con agua caliente</t>
  </si>
  <si>
    <t xml:space="preserve"> Lugares de trabajo y dispositivos de mando</t>
  </si>
  <si>
    <t xml:space="preserve"> Panel de operación</t>
  </si>
  <si>
    <t xml:space="preserve"> Pantalla</t>
  </si>
  <si>
    <t xml:space="preserve"> Elementos de entrada</t>
  </si>
  <si>
    <t xml:space="preserve"> Elementos de salida</t>
  </si>
  <si>
    <t xml:space="preserve"> Tomar muestra de producto</t>
  </si>
  <si>
    <t xml:space="preserve"> Ejecutar</t>
  </si>
  <si>
    <t xml:space="preserve"> Instrucciones de lubricación y de limpieza</t>
  </si>
  <si>
    <t xml:space="preserve"> Bloqueador de botellas</t>
  </si>
  <si>
    <t xml:space="preserve"> Cambio de componentes de la neumática de seguridad</t>
  </si>
  <si>
    <t xml:space="preserve"> Cambio de junta en el brazo articulador</t>
  </si>
  <si>
    <t xml:space="preserve"> Visualizaciones</t>
  </si>
  <si>
    <t xml:space="preserve"> Indicación de fallas en la pantalla de vista general de la guía del operador</t>
  </si>
  <si>
    <t xml:space="preserve"> Medida de la correa protectora</t>
  </si>
  <si>
    <t xml:space="preserve"> Explicación de los términos</t>
  </si>
  <si>
    <t xml:space="preserve"> Aire comprimido</t>
  </si>
  <si>
    <t xml:space="preserve"> Gases de presurización</t>
  </si>
  <si>
    <t xml:space="preserve"> Productos que se deben envasar</t>
  </si>
  <si>
    <t xml:space="preserve"> Recomendaciones de limpieza</t>
  </si>
  <si>
    <t xml:space="preserve"> Datos del depósito de presión</t>
  </si>
  <si>
    <t xml:space="preserve"> Esquemas</t>
  </si>
  <si>
    <t xml:space="preserve"> Indicaciones sobre la caracterización de los lubricantes</t>
  </si>
  <si>
    <t>\\uac.xorb.net\vdfs\Anwendungen\Dokumentation\Kundenprojekte\Dortmund\89406xxx\894063xx\89406374_Monterrey\BA_Betriebsanleitungen\BA_89406374_000500__Innofill Glasflaschenfüllmaschine_ES_01.pdf</t>
  </si>
  <si>
    <t xml:space="preserve"> Uso erróneo previsible del equipo</t>
  </si>
  <si>
    <t xml:space="preserve"> Áreas peligrosas y su señalización</t>
  </si>
  <si>
    <t xml:space="preserve"> Cerramiento de la máquina</t>
  </si>
  <si>
    <t xml:space="preserve"> Interruptor de puerta con mecanismo de cierre</t>
  </si>
  <si>
    <t xml:space="preserve"> Dispositivo de enganche, aseguramiento contra caída</t>
  </si>
  <si>
    <t xml:space="preserve"> Estado operativo Desc</t>
  </si>
  <si>
    <t xml:space="preserve"> Estado operativo Con</t>
  </si>
  <si>
    <t xml:space="preserve"> Cuerpo inferior de la llenadora</t>
  </si>
  <si>
    <t xml:space="preserve"> Cuerpo superior de la llenadora</t>
  </si>
  <si>
    <t xml:space="preserve"> Rociado de roscas</t>
  </si>
  <si>
    <t xml:space="preserve"> Tapadora de tapas a rosca</t>
  </si>
  <si>
    <t xml:space="preserve"> Equipo UPS externo</t>
  </si>
  <si>
    <t xml:space="preserve"> Lugares de trabajo y dispositivos de operación</t>
  </si>
  <si>
    <t xml:space="preserve"> Servicio</t>
  </si>
  <si>
    <t xml:space="preserve"> Prescripciones de seguridad</t>
  </si>
  <si>
    <t xml:space="preserve"> Abrir y cerrar las puertas del cerramiento de la máquina</t>
  </si>
  <si>
    <t xml:space="preserve"> Dispositivos de operación</t>
  </si>
  <si>
    <t xml:space="preserve"> Regletas de operación</t>
  </si>
  <si>
    <t xml:space="preserve"> Poner la máquina en condiciones operativas</t>
  </si>
  <si>
    <t xml:space="preserve"> Enjuague intermedio</t>
  </si>
  <si>
    <t xml:space="preserve"> Sustituir sinfín de entrada </t>
  </si>
  <si>
    <t xml:space="preserve"> Ajustar sinfín de entrada </t>
  </si>
  <si>
    <t xml:space="preserve"> Cambio de una válvula I/O-Link</t>
  </si>
  <si>
    <t xml:space="preserve"> Información general </t>
  </si>
  <si>
    <t xml:space="preserve"> Esquema de lubricación </t>
  </si>
  <si>
    <t xml:space="preserve"> Visualización de fallas con la luz de estado de la máquina</t>
  </si>
  <si>
    <t xml:space="preserve"> Visualizaciones de fallas en la pantalla de vista general de la guía del operador</t>
  </si>
  <si>
    <t>\\uac.xorb.net\vdfs\Anwendungen\Dokumentation\Kundenprojekte\Dortmund\89406xxx\894061xx\89406168_Santiago de Chile\BA_Betriebsanleitungen\BA_89406168_000500__Innofill Glasflaschenfüllmaschine_ES_01.pdf</t>
  </si>
  <si>
    <t xml:space="preserve"> Barrera de paso</t>
  </si>
  <si>
    <t xml:space="preserve"> Lista de intervenciones menores</t>
  </si>
  <si>
    <t xml:space="preserve"> Interruptor de reparación</t>
  </si>
  <si>
    <t>\\uac.xorb.net\vdfs\Anwendungen\Dokumentation\Kundenprojekte\Dortmund\89406xxx\894060xx\89406059_Meoqui\BA_Betriebsanleitungen\BA_89406059_000800__Innofill Glasflaschenfüllmaschine_ES_01.pdf</t>
  </si>
  <si>
    <t>\\uac.xorb.net\vdfs\Anwendungen\Dokumentation\Kundenprojekte\Dortmund\89407xxx\894070xx\89407064_MAPUTO - MOCAMBIQUE\BA_Betriebsanleitungen\BA_89407064_001400__Innofill Glasflaschenfüllmaschine_PT_01.pdf</t>
  </si>
  <si>
    <t xml:space="preserve"> Informações gerais</t>
  </si>
  <si>
    <t xml:space="preserve"> Grupo-alvo</t>
  </si>
  <si>
    <t xml:space="preserve"> Indicações sobre a documentação técnica</t>
  </si>
  <si>
    <t xml:space="preserve"> Atribuição das máquinas</t>
  </si>
  <si>
    <t xml:space="preserve"> Assistência ao cliente</t>
  </si>
  <si>
    <t xml:space="preserve"> Direitos autorais</t>
  </si>
  <si>
    <t xml:space="preserve"> Indicações para a leitura </t>
  </si>
  <si>
    <t xml:space="preserve"> Segurança</t>
  </si>
  <si>
    <t xml:space="preserve"> Função das Instruções de Segurança</t>
  </si>
  <si>
    <t xml:space="preserve"> Utilização prevista</t>
  </si>
  <si>
    <t xml:space="preserve"> Utilização incorreta previsível de modo razoável</t>
  </si>
  <si>
    <t xml:space="preserve"> Deveres do operador</t>
  </si>
  <si>
    <t xml:space="preserve"> Requisitos impostos aos funcionários</t>
  </si>
  <si>
    <t xml:space="preserve"> Equipamento de proteção</t>
  </si>
  <si>
    <t xml:space="preserve"> Áreas de perigo e sua identificação</t>
  </si>
  <si>
    <t xml:space="preserve"> Sinais de proibição</t>
  </si>
  <si>
    <t xml:space="preserve"> Sinais de aviso</t>
  </si>
  <si>
    <t xml:space="preserve"> Sinais de obrigação</t>
  </si>
  <si>
    <t xml:space="preserve"> Local de colocação dos sinais</t>
  </si>
  <si>
    <t xml:space="preserve"> Dispositivos de proteção</t>
  </si>
  <si>
    <t xml:space="preserve"> Revestimento da máquina</t>
  </si>
  <si>
    <t xml:space="preserve"> Interruptor da porta com fecho</t>
  </si>
  <si>
    <t xml:space="preserve"> Desbloqueio de emergência</t>
  </si>
  <si>
    <t xml:space="preserve"> Interruptor de paragem de emergência</t>
  </si>
  <si>
    <t xml:space="preserve"> Válvula de segurança</t>
  </si>
  <si>
    <t xml:space="preserve"> Dispositivo de fixação para proteção antiqueda</t>
  </si>
  <si>
    <t xml:space="preserve"> Local de montagem dos dispositivos de proteção</t>
  </si>
  <si>
    <t xml:space="preserve"> Dispositivos para desligar e proteger</t>
  </si>
  <si>
    <t xml:space="preserve"> Comportamento em situações de perigo e acidentes</t>
  </si>
  <si>
    <t xml:space="preserve"> Estados operacionais e modos de operação</t>
  </si>
  <si>
    <t xml:space="preserve"> Máquina desbloqueada</t>
  </si>
  <si>
    <t xml:space="preserve"> Estado de operação desligado</t>
  </si>
  <si>
    <t xml:space="preserve"> Estado operacional ligado</t>
  </si>
  <si>
    <t xml:space="preserve"> Recipientes pressurizados e tubagens</t>
  </si>
  <si>
    <t xml:space="preserve"> Perigos residuais</t>
  </si>
  <si>
    <t xml:space="preserve"> Estrutura e funcionamento</t>
  </si>
  <si>
    <t xml:space="preserve"> Envasadora de garrafas de vidro e dispositivo de colocação de tampas</t>
  </si>
  <si>
    <t xml:space="preserve"> Fluxo de garrafas</t>
  </si>
  <si>
    <t xml:space="preserve"> Transporte de garrafas</t>
  </si>
  <si>
    <t xml:space="preserve"> Sincronização</t>
  </si>
  <si>
    <t xml:space="preserve"> Distribuidor de válvulas</t>
  </si>
  <si>
    <t xml:space="preserve"> Bomba de vácuo</t>
  </si>
  <si>
    <t xml:space="preserve"> Parte inferior do dispositivo de enchimento</t>
  </si>
  <si>
    <t xml:space="preserve"> Parte superior do dispositivo de enchimento</t>
  </si>
  <si>
    <t xml:space="preserve"> Válvula de enchimento</t>
  </si>
  <si>
    <t xml:space="preserve"> Comando "Garrafa partida"</t>
  </si>
  <si>
    <t xml:space="preserve"> Remoção de cacos</t>
  </si>
  <si>
    <t xml:space="preserve"> Jato de alta pressão</t>
  </si>
  <si>
    <t xml:space="preserve"> Dispositivo de colocação de caricas</t>
  </si>
  <si>
    <t xml:space="preserve"> Chuveiro de garrafas</t>
  </si>
  <si>
    <t xml:space="preserve"> Lavagem a jato do dispositivo de colocação de tampas</t>
  </si>
  <si>
    <t xml:space="preserve"> Lavagem a jato com água</t>
  </si>
  <si>
    <t xml:space="preserve"> Limpeza exterior automática</t>
  </si>
  <si>
    <t xml:space="preserve"> Postos de trabalho e dispositivos de controlo</t>
  </si>
  <si>
    <t xml:space="preserve"> Painel de controlo</t>
  </si>
  <si>
    <t xml:space="preserve"> Parte dianteira</t>
  </si>
  <si>
    <t xml:space="preserve"> Parte traseira</t>
  </si>
  <si>
    <t xml:space="preserve"> Interface gráfica de utilizador</t>
  </si>
  <si>
    <t xml:space="preserve"> Janela principal</t>
  </si>
  <si>
    <t xml:space="preserve"> Iniciar e encerrar sessão</t>
  </si>
  <si>
    <t xml:space="preserve"> Menu principal</t>
  </si>
  <si>
    <t xml:space="preserve"> Máquina de enchimento completa</t>
  </si>
  <si>
    <t xml:space="preserve"> Dispositivo de enchimento</t>
  </si>
  <si>
    <t xml:space="preserve"> Dispositivo de colocação de tampas</t>
  </si>
  <si>
    <t xml:space="preserve"> Tecnologia de medição, comando e regulação</t>
  </si>
  <si>
    <t xml:space="preserve"> Armário de distribuição</t>
  </si>
  <si>
    <t xml:space="preserve"> Tecnologia de medição</t>
  </si>
  <si>
    <t xml:space="preserve"> Tecnologia de comando</t>
  </si>
  <si>
    <t xml:space="preserve"> Tecnologia de regulação</t>
  </si>
  <si>
    <t xml:space="preserve"> Sistema pneumático</t>
  </si>
  <si>
    <t xml:space="preserve"> Modo de trabalho com eficiência energética</t>
  </si>
  <si>
    <t xml:space="preserve"> Montagem</t>
  </si>
  <si>
    <t xml:space="preserve"> Verificar o volume de fornecimento e executar a inspeção de entrega</t>
  </si>
  <si>
    <t xml:space="preserve"> Ligar</t>
  </si>
  <si>
    <t xml:space="preserve"> Colocar em funcionamento</t>
  </si>
  <si>
    <t xml:space="preserve"> Desativação</t>
  </si>
  <si>
    <t xml:space="preserve"> Armazenamento</t>
  </si>
  <si>
    <t xml:space="preserve"> Colocar novamente em funcionamento</t>
  </si>
  <si>
    <t xml:space="preserve"> Eliminar</t>
  </si>
  <si>
    <t xml:space="preserve"> Operação</t>
  </si>
  <si>
    <t xml:space="preserve"> Indicações de segurança</t>
  </si>
  <si>
    <t xml:space="preserve"> Paragem de emergência</t>
  </si>
  <si>
    <t xml:space="preserve"> Abrir e fechar as portas do revestimento da máquina</t>
  </si>
  <si>
    <t xml:space="preserve"> Luz de aviso</t>
  </si>
  <si>
    <t xml:space="preserve"> Buzina de aviso</t>
  </si>
  <si>
    <t xml:space="preserve"> Luzes indicadoras do estado da máquina</t>
  </si>
  <si>
    <t xml:space="preserve"> Dispositivos de comando</t>
  </si>
  <si>
    <t xml:space="preserve"> Barras de controlo</t>
  </si>
  <si>
    <t xml:space="preserve"> Chave de segurança</t>
  </si>
  <si>
    <t xml:space="preserve"> Por impulsos</t>
  </si>
  <si>
    <t xml:space="preserve"> Estabelecimento da prontidão de operação</t>
  </si>
  <si>
    <t xml:space="preserve"> Produção</t>
  </si>
  <si>
    <t xml:space="preserve"> Condições prévias</t>
  </si>
  <si>
    <t xml:space="preserve"> Preparar o dispositivo de enchimento</t>
  </si>
  <si>
    <t xml:space="preserve"> Iniciar a produção</t>
  </si>
  <si>
    <t xml:space="preserve"> Monitorizar</t>
  </si>
  <si>
    <t xml:space="preserve"> Recolha de amostras de produto</t>
  </si>
  <si>
    <t xml:space="preserve"> Interromper a produção</t>
  </si>
  <si>
    <t xml:space="preserve"> Enxaguamento intercalado</t>
  </si>
  <si>
    <t xml:space="preserve"> Finalizar a produção</t>
  </si>
  <si>
    <t xml:space="preserve"> Limpeza</t>
  </si>
  <si>
    <t xml:space="preserve"> Operar dispositivo de enchimento</t>
  </si>
  <si>
    <t xml:space="preserve"> Limpar os acessórios</t>
  </si>
  <si>
    <t xml:space="preserve"> Limpeza externa das máquinas</t>
  </si>
  <si>
    <t xml:space="preserve"> Iniciar a limpeza externa automática</t>
  </si>
  <si>
    <t xml:space="preserve"> Esvaziar</t>
  </si>
  <si>
    <t xml:space="preserve"> Ajustar a altura de limpeza</t>
  </si>
  <si>
    <t xml:space="preserve"> Troca de peças de formato</t>
  </si>
  <si>
    <t xml:space="preserve"> Limpeza CIP</t>
  </si>
  <si>
    <t xml:space="preserve"> Ajustar a altura de produção</t>
  </si>
  <si>
    <t xml:space="preserve"> Limpeza externa</t>
  </si>
  <si>
    <t xml:space="preserve"> Tarefas posteriores</t>
  </si>
  <si>
    <t xml:space="preserve"> Cancelar a prontidão de operação</t>
  </si>
  <si>
    <t xml:space="preserve"> Conservação</t>
  </si>
  <si>
    <t xml:space="preserve"> Indicações sobre as atividades de conservação</t>
  </si>
  <si>
    <t xml:space="preserve"> Observar as normas</t>
  </si>
  <si>
    <t xml:space="preserve"> Modo de funcionamento Configurar</t>
  </si>
  <si>
    <t xml:space="preserve"> Desligar e proteger</t>
  </si>
  <si>
    <t xml:space="preserve"> Esvaziar a máquina</t>
  </si>
  <si>
    <t xml:space="preserve"> Manutenção</t>
  </si>
  <si>
    <t xml:space="preserve"> Indicações sobre as práticas de manutenção</t>
  </si>
  <si>
    <t xml:space="preserve"> Manter vedantes</t>
  </si>
  <si>
    <t xml:space="preserve"> Plano de manutenção</t>
  </si>
  <si>
    <t xml:space="preserve"> Plano de lubrificação</t>
  </si>
  <si>
    <t xml:space="preserve"> Instruções de limpeza e de lubrificação</t>
  </si>
  <si>
    <t xml:space="preserve"> Reparação</t>
  </si>
  <si>
    <t xml:space="preserve"> Binários de aperto</t>
  </si>
  <si>
    <t xml:space="preserve"> Substituir parafuso de entrada </t>
  </si>
  <si>
    <t xml:space="preserve"> Ajustar parafuso de entrada </t>
  </si>
  <si>
    <t xml:space="preserve"> Substituir as barras deslizantes</t>
  </si>
  <si>
    <t xml:space="preserve"> Lubrificação central</t>
  </si>
  <si>
    <t xml:space="preserve"> Acionamento</t>
  </si>
  <si>
    <t xml:space="preserve"> Cilindro de elevação</t>
  </si>
  <si>
    <t xml:space="preserve"> Silenciador de filtro grupo de manutenção</t>
  </si>
  <si>
    <t xml:space="preserve"> Substituição de uma válvula do processo</t>
  </si>
  <si>
    <t xml:space="preserve"> Substituição da vedação no braço articulado</t>
  </si>
  <si>
    <t xml:space="preserve"> Avarias</t>
  </si>
  <si>
    <t xml:space="preserve"> Indicações</t>
  </si>
  <si>
    <t xml:space="preserve"> Indicação das avarias através das luzes de aviso</t>
  </si>
  <si>
    <t xml:space="preserve"> Erros e avisos no painel de controlo</t>
  </si>
  <si>
    <t xml:space="preserve"> Indicações de avarias no ecrã de vista geral</t>
  </si>
  <si>
    <t xml:space="preserve"> Eliminar as mensagens de avaria do ecrã de vista geral</t>
  </si>
  <si>
    <t xml:space="preserve"> DP Mastersystem / Profibus</t>
  </si>
  <si>
    <t xml:space="preserve"> Avarias no sistema elétrico</t>
  </si>
  <si>
    <t xml:space="preserve"> Avarias no servoatuador</t>
  </si>
  <si>
    <t xml:space="preserve"> Lavadora</t>
  </si>
  <si>
    <t xml:space="preserve"> Conjunto de válvulas de distribuição do dispositivo de enchimento</t>
  </si>
  <si>
    <t xml:space="preserve"> Sistema de UPS externo</t>
  </si>
  <si>
    <t xml:space="preserve"> Dados técnicos</t>
  </si>
  <si>
    <t xml:space="preserve"> Requisitos para fluidos</t>
  </si>
  <si>
    <t xml:space="preserve"> Explicação de termos</t>
  </si>
  <si>
    <t xml:space="preserve"> Água</t>
  </si>
  <si>
    <t xml:space="preserve"> Ar</t>
  </si>
  <si>
    <t xml:space="preserve"> Gás de pressurização</t>
  </si>
  <si>
    <t xml:space="preserve"> Produtos de enchimento</t>
  </si>
  <si>
    <t xml:space="preserve"> Dados da máquina</t>
  </si>
  <si>
    <t xml:space="preserve"> Esquemas de tubagens</t>
  </si>
  <si>
    <t xml:space="preserve"> Emissão de ruído</t>
  </si>
  <si>
    <t xml:space="preserve"> Dados técnicos de enchimento</t>
  </si>
  <si>
    <t xml:space="preserve"> Identificação dos pontos de lubrificação</t>
  </si>
  <si>
    <t xml:space="preserve"> Indicações para a denominação dos lubrificantes</t>
  </si>
  <si>
    <t xml:space="preserve"> Identificação dos dispositivos para desligar e proteger</t>
  </si>
  <si>
    <t xml:space="preserve"> Valores limites para a limpeza de superfícies</t>
  </si>
  <si>
    <t xml:space="preserve"> Anexo</t>
  </si>
  <si>
    <t xml:space="preserve"> Informações gerais </t>
  </si>
  <si>
    <t xml:space="preserve"> Atribuição da máquina</t>
  </si>
  <si>
    <t xml:space="preserve"> Desbloqueio da saída de emergência</t>
  </si>
  <si>
    <t xml:space="preserve"> Máquina ativada</t>
  </si>
  <si>
    <t xml:space="preserve"> Válvula de enchimento e comando</t>
  </si>
  <si>
    <t xml:space="preserve"> Injeção de alta pressão</t>
  </si>
  <si>
    <t xml:space="preserve"> Luzes indicadoras de estado da máquina</t>
  </si>
  <si>
    <t xml:space="preserve"> Chaves de segurança</t>
  </si>
  <si>
    <t xml:space="preserve"> Obter a prontidão operacional</t>
  </si>
  <si>
    <t xml:space="preserve"> Executar</t>
  </si>
  <si>
    <t xml:space="preserve"> Limpeza exterior das máquinas</t>
  </si>
  <si>
    <t xml:space="preserve"> Iniciar a limpeza exterior automática</t>
  </si>
  <si>
    <t xml:space="preserve"> Atividades posteriores</t>
  </si>
  <si>
    <t xml:space="preserve"> Cancelar a prontidão operacional</t>
  </si>
  <si>
    <t xml:space="preserve"> Plano de lubrificação </t>
  </si>
  <si>
    <t xml:space="preserve"> Substituição de componentes do sistema pneumático de segurança</t>
  </si>
  <si>
    <t xml:space="preserve"> Modo de operação Teleassistência</t>
  </si>
  <si>
    <t xml:space="preserve"> Indicação das avarias através das luzes indicadoras de estado da máquina</t>
  </si>
  <si>
    <t xml:space="preserve"> Mostrar avarias no ecrã de vista geral do guia do operador</t>
  </si>
  <si>
    <t xml:space="preserve"> Dimensões do arnês de segurança</t>
  </si>
  <si>
    <t xml:space="preserve"> Recomendações de limpeza</t>
  </si>
  <si>
    <t xml:space="preserve"> Certificação dos lubrificantes</t>
  </si>
  <si>
    <t xml:space="preserve"> Declaração de conformidade CE</t>
  </si>
  <si>
    <t>\\uac.xorb.net\vdfs\Anwendungen\Dokumentation\Kundenprojekte\Dortmund\89406xxx\894061xx\89406188_Lubango\BA_Betriebsanleitungen\BA_89406188_001100__Innofill Glasflaschenfüllmaschine_PT_01.pdf</t>
  </si>
  <si>
    <t>DPG-VF 80 / 15 KK</t>
  </si>
  <si>
    <t xml:space="preserve"> Informações sobre a documentação técnica</t>
  </si>
  <si>
    <t xml:space="preserve"> Avisos para a leitura </t>
  </si>
  <si>
    <t xml:space="preserve"> Função de avisos de segurança</t>
  </si>
  <si>
    <t xml:space="preserve"> Possibilidades de uso incorreto</t>
  </si>
  <si>
    <t xml:space="preserve"> Requisitos relativos ao pessoal</t>
  </si>
  <si>
    <t xml:space="preserve"> Áreas de risco e sua identificação</t>
  </si>
  <si>
    <t xml:space="preserve"> Localização das indicações</t>
  </si>
  <si>
    <t xml:space="preserve"> Chave de porta com sistema de travamento</t>
  </si>
  <si>
    <t xml:space="preserve"> Botões de parada de emergência</t>
  </si>
  <si>
    <t xml:space="preserve"> Localização dos dispositivos de proteção</t>
  </si>
  <si>
    <t xml:space="preserve"> Conduta em situações de perigo e acidentes</t>
  </si>
  <si>
    <t xml:space="preserve"> Recipientes pressurizados e tubulações</t>
  </si>
  <si>
    <t xml:space="preserve"> Riscos residuais</t>
  </si>
  <si>
    <t xml:space="preserve"> Máquina envasadora e tampadora de garrafas de vidro</t>
  </si>
  <si>
    <t xml:space="preserve"> Acionamento da máquina</t>
  </si>
  <si>
    <t xml:space="preserve"> Manifold das válvulas</t>
  </si>
  <si>
    <t xml:space="preserve"> Parte inferior do envasador</t>
  </si>
  <si>
    <t xml:space="preserve"> Parte superior do envasador</t>
  </si>
  <si>
    <t xml:space="preserve"> Válvula de envasamento e controle</t>
  </si>
  <si>
    <t xml:space="preserve"> Pulverização de fragmentos</t>
  </si>
  <si>
    <t xml:space="preserve"> Tampadora de tampas coroa</t>
  </si>
  <si>
    <t xml:space="preserve"> Encharcamento por água quente</t>
  </si>
  <si>
    <t xml:space="preserve"> Ducha de garrafas</t>
  </si>
  <si>
    <t xml:space="preserve"> Redis Single</t>
  </si>
  <si>
    <t xml:space="preserve"> Postos de trabalho e dispositivos de comando</t>
  </si>
  <si>
    <t xml:space="preserve"> Desligar</t>
  </si>
  <si>
    <t xml:space="preserve"> Descarte</t>
  </si>
  <si>
    <t xml:space="preserve"> Avisos de segurança</t>
  </si>
  <si>
    <t xml:space="preserve"> Parada de emergência</t>
  </si>
  <si>
    <t xml:space="preserve"> Sirene de aviso</t>
  </si>
  <si>
    <t xml:space="preserve"> Luz de advertência “Cilindro de elevação”</t>
  </si>
  <si>
    <t xml:space="preserve"> Console de operação e painéis de controle</t>
  </si>
  <si>
    <t xml:space="preserve"> Painel de controle do manifold das válvulas do envasador</t>
  </si>
  <si>
    <t xml:space="preserve"> Interruptor de chave ReDis Single</t>
  </si>
  <si>
    <t xml:space="preserve"> Console de operação</t>
  </si>
  <si>
    <t xml:space="preserve"> Passo a passo</t>
  </si>
  <si>
    <t xml:space="preserve"> Estabelecer prontidão operacional</t>
  </si>
  <si>
    <t xml:space="preserve"> Preparação</t>
  </si>
  <si>
    <t xml:space="preserve"> Iniciar produção</t>
  </si>
  <si>
    <t xml:space="preserve"> Monitorar</t>
  </si>
  <si>
    <t xml:space="preserve"> Retirada de amostras do produto</t>
  </si>
  <si>
    <t xml:space="preserve"> Lavagem intermediária</t>
  </si>
  <si>
    <t xml:space="preserve"> Encerrar da produção</t>
  </si>
  <si>
    <t xml:space="preserve"> Limpar acessórios</t>
  </si>
  <si>
    <t xml:space="preserve"> Limpeza externa da máquina</t>
  </si>
  <si>
    <t xml:space="preserve"> Troca de formas</t>
  </si>
  <si>
    <t xml:space="preserve"> Válvula de envasamento</t>
  </si>
  <si>
    <t xml:space="preserve"> Cancelar prontidão operacional</t>
  </si>
  <si>
    <t xml:space="preserve"> Manutenção preventiva</t>
  </si>
  <si>
    <t xml:space="preserve"> Indicações sobre as práticas de manutenção preventiva</t>
  </si>
  <si>
    <t xml:space="preserve"> Programa de manutenção do envasador</t>
  </si>
  <si>
    <t xml:space="preserve"> Manutenção elétrica</t>
  </si>
  <si>
    <t xml:space="preserve"> Programa de manutenção da tampadora de tampas coroa</t>
  </si>
  <si>
    <t xml:space="preserve"> Programa de manutenção da máquina</t>
  </si>
  <si>
    <t xml:space="preserve"> Pontos de lubrificação do grupo de válvulas</t>
  </si>
  <si>
    <t xml:space="preserve"> Pontos de lubrificação do transporte de garrafas</t>
  </si>
  <si>
    <t xml:space="preserve"> Pontos de lubrificação da tampadora de tampas coroa</t>
  </si>
  <si>
    <t xml:space="preserve"> Pontos de lubrificação do envasador</t>
  </si>
  <si>
    <t xml:space="preserve"> Recomendações de lubrificação e limpeza</t>
  </si>
  <si>
    <t xml:space="preserve"> Reparo</t>
  </si>
  <si>
    <t xml:space="preserve"> Desligar o interruptor principal</t>
  </si>
  <si>
    <t xml:space="preserve"> Ligar o acionamento principal</t>
  </si>
  <si>
    <t xml:space="preserve"> Torques de aperto</t>
  </si>
  <si>
    <t xml:space="preserve"> Repor serpentina de entrada </t>
  </si>
  <si>
    <t xml:space="preserve"> Ajustar serpentina de entrada </t>
  </si>
  <si>
    <t xml:space="preserve"> Trocar faixas</t>
  </si>
  <si>
    <t xml:space="preserve"> Troca de componentes da pneumática de segurança</t>
  </si>
  <si>
    <t xml:space="preserve"> Troca da vedação no braço articulado</t>
  </si>
  <si>
    <t xml:space="preserve"> Falhas</t>
  </si>
  <si>
    <t xml:space="preserve"> Exibir</t>
  </si>
  <si>
    <t xml:space="preserve"> Indicação de falhas com as luzes de indicação de estado da máquina</t>
  </si>
  <si>
    <t xml:space="preserve"> Erro e avisos no painel de comando</t>
  </si>
  <si>
    <t xml:space="preserve"> Indicação de falhas na tela de visão geral do guia de operação</t>
  </si>
  <si>
    <t xml:space="preserve"> Eliminação</t>
  </si>
  <si>
    <t xml:space="preserve"> Remover os avisos de falha da tela de visão geral</t>
  </si>
  <si>
    <t xml:space="preserve"> Falhas na área elétrica</t>
  </si>
  <si>
    <t xml:space="preserve"> Falhas no servo-acionamento</t>
  </si>
  <si>
    <t xml:space="preserve"> Envasador</t>
  </si>
  <si>
    <t xml:space="preserve"> Ligar ReDis Single</t>
  </si>
  <si>
    <t xml:space="preserve"> Ar comprimido</t>
  </si>
  <si>
    <t xml:space="preserve"> Gás de processo</t>
  </si>
  <si>
    <t xml:space="preserve"> Requisitos ao produto de limpeza</t>
  </si>
  <si>
    <t xml:space="preserve"> Diagramas</t>
  </si>
  <si>
    <t xml:space="preserve"> Tipos</t>
  </si>
  <si>
    <t xml:space="preserve"> Valores Limites para a Limpeza de Superfícies</t>
  </si>
  <si>
    <t>1 General information............................................................................................................ 9</t>
  </si>
  <si>
    <t>1.1 Target Group................................................................................................................ 9</t>
  </si>
  <si>
    <t>1.2 Notes on technical documentation............................................................................... 9</t>
  </si>
  <si>
    <t>1.3 Machine assignment.................................................................................................... 9</t>
  </si>
  <si>
    <t>1.4 Customer Service...................................................................................................... 11</t>
  </si>
  <si>
    <t>1.5 Copyright.................................................................................................................... 11</t>
  </si>
  <si>
    <t>1.6 Notes on reading this manual.................................................................................... 11</t>
  </si>
  <si>
    <t>2.1 Purpose of safety information.................................................................................... 13</t>
  </si>
  <si>
    <t>2.2 Intended use.............................................................................................................. 13</t>
  </si>
  <si>
    <t>2.3 Reasonably foreseeable misuse................................................................................ 14</t>
  </si>
  <si>
    <t>2.4 Obligations of the operator........................................................................................ 14</t>
  </si>
  <si>
    <t>2.5 Personnel requirements............................................................................................. 15</t>
  </si>
  <si>
    <t>2.6 Protective equipment................................................................................................. 19</t>
  </si>
  <si>
    <t>2.7 Hazardous areas and identification of these areas.................................................... 20</t>
  </si>
  <si>
    <t>2.7.1 Prohibitory signs...................................................................................................... 20</t>
  </si>
  <si>
    <t>2.7.2 Warning signs.......................................................................................................... 20</t>
  </si>
  <si>
    <t>2.7.4 Mounting location of signs....................................................................................... 22</t>
  </si>
  <si>
    <t>2.8 Safety equipment....................................................................................................... 22</t>
  </si>
  <si>
    <t>2.8.1 Machine paneling.................................................................................................... 23</t>
  </si>
  <si>
    <t>2.8.2 Door switch with locking mechanism....................................................................... 24</t>
  </si>
  <si>
    <t>2.8.7 Installation location of safety equipment.................................................................. 29</t>
  </si>
  <si>
    <t>2.9 Conduct in hazardous situations and in the event of an accident.............................. 32</t>
  </si>
  <si>
    <t>2.10 Operating statuses and operating modes.................................................................. 33</t>
  </si>
  <si>
    <t>2.10.1 Deenergized machine.............................................................................................. 34</t>
  </si>
  <si>
    <t>2.10.2 Operating status OFF.............................................................................................. 34</t>
  </si>
  <si>
    <t>2.10.3 Operating status ON................................................................................................ 34</t>
  </si>
  <si>
    <t>2.11 Pressure tanks and pipelines..................................................................................... 35</t>
  </si>
  <si>
    <t>3 Layout and function.......................................................................................................... 41</t>
  </si>
  <si>
    <t>3.1 Glass bottle filling machine and capper..................................................................... 41</t>
  </si>
  <si>
    <t xml:space="preserve"> General information</t>
  </si>
  <si>
    <t xml:space="preserve"> Target Group</t>
  </si>
  <si>
    <t xml:space="preserve"> Notes on technical documentation</t>
  </si>
  <si>
    <t xml:space="preserve"> Machine assignment</t>
  </si>
  <si>
    <t xml:space="preserve"> Customer Service</t>
  </si>
  <si>
    <t xml:space="preserve"> Copyright</t>
  </si>
  <si>
    <t xml:space="preserve"> Notes on reading this manual</t>
  </si>
  <si>
    <t xml:space="preserve"> Safety</t>
  </si>
  <si>
    <t xml:space="preserve"> Purpose of safety information</t>
  </si>
  <si>
    <t xml:space="preserve"> Intended use</t>
  </si>
  <si>
    <t xml:space="preserve"> Reasonably foreseeable misuse</t>
  </si>
  <si>
    <t xml:space="preserve"> Obligations of the operator</t>
  </si>
  <si>
    <t xml:space="preserve"> Personnel requirements</t>
  </si>
  <si>
    <t xml:space="preserve"> Protective equipment</t>
  </si>
  <si>
    <t xml:space="preserve"> Hazardous areas and identification of these areas</t>
  </si>
  <si>
    <t xml:space="preserve"> Prohibitory signs</t>
  </si>
  <si>
    <t xml:space="preserve"> Warning signs</t>
  </si>
  <si>
    <t xml:space="preserve"> Mandatory signs</t>
  </si>
  <si>
    <t xml:space="preserve"> Mounting location of signs</t>
  </si>
  <si>
    <t xml:space="preserve"> Safety equipment</t>
  </si>
  <si>
    <t xml:space="preserve"> Machine paneling</t>
  </si>
  <si>
    <t xml:space="preserve"> Door switch with locking mechanism</t>
  </si>
  <si>
    <t xml:space="preserve"> Escape unlock</t>
  </si>
  <si>
    <t xml:space="preserve"> Emergency stop switch</t>
  </si>
  <si>
    <t xml:space="preserve"> Relief valve</t>
  </si>
  <si>
    <t xml:space="preserve"> Stop fixture for fall arrester</t>
  </si>
  <si>
    <t xml:space="preserve"> Installation location of safety equipment</t>
  </si>
  <si>
    <t xml:space="preserve"> Equipment for disconnecting and securing</t>
  </si>
  <si>
    <t xml:space="preserve"> Conduct in hazardous situations and in the event of an accident</t>
  </si>
  <si>
    <t xml:space="preserve"> Operating statuses and operating modes</t>
  </si>
  <si>
    <t xml:space="preserve"> Deenergized machine</t>
  </si>
  <si>
    <t xml:space="preserve"> Operating status OFF</t>
  </si>
  <si>
    <t xml:space="preserve"> Operating status ON</t>
  </si>
  <si>
    <t xml:space="preserve"> Pressure tanks and pipelines</t>
  </si>
  <si>
    <t xml:space="preserve"> Residual risks</t>
  </si>
  <si>
    <t xml:space="preserve"> Layout and function</t>
  </si>
  <si>
    <t xml:space="preserve"> Glass bottle filling machine and capper</t>
  </si>
  <si>
    <t xml:space="preserve"> Bottle flow</t>
  </si>
  <si>
    <t xml:space="preserve"> Bottle conveyor</t>
  </si>
  <si>
    <t xml:space="preserve"> Synchronization</t>
  </si>
  <si>
    <t xml:space="preserve"> Valve manifold</t>
  </si>
  <si>
    <t xml:space="preserve"> Filler base</t>
  </si>
  <si>
    <t xml:space="preserve"> Filler turret</t>
  </si>
  <si>
    <t xml:space="preserve"> Filling valve</t>
  </si>
  <si>
    <t xml:space="preserve"> "Broken bottle" control</t>
  </si>
  <si>
    <t xml:space="preserve"> Broken glass removal</t>
  </si>
  <si>
    <t xml:space="preserve"> Thread spray</t>
  </si>
  <si>
    <t xml:space="preserve"> Crown corker</t>
  </si>
  <si>
    <t xml:space="preserve"> Roll-on capper</t>
  </si>
  <si>
    <t xml:space="preserve"> Bottle shower</t>
  </si>
  <si>
    <t xml:space="preserve"> Distributor</t>
  </si>
  <si>
    <t xml:space="preserve"> Capper flushoff</t>
  </si>
  <si>
    <t xml:space="preserve"> Signaling equipment</t>
  </si>
  <si>
    <t xml:space="preserve"> Workstations</t>
  </si>
  <si>
    <t xml:space="preserve"> Operating controls</t>
  </si>
  <si>
    <t xml:space="preserve"> Operator console</t>
  </si>
  <si>
    <t xml:space="preserve"> Graphical user interface</t>
  </si>
  <si>
    <t xml:space="preserve"> Main window</t>
  </si>
  <si>
    <t xml:space="preserve"> Favorites</t>
  </si>
  <si>
    <t xml:space="preserve"> Logging in and logging out</t>
  </si>
  <si>
    <t xml:space="preserve"> Main menu</t>
  </si>
  <si>
    <t xml:space="preserve"> Entire filling machine</t>
  </si>
  <si>
    <t xml:space="preserve"> Filler</t>
  </si>
  <si>
    <t xml:space="preserve"> Capper 1</t>
  </si>
  <si>
    <t xml:space="preserve"> Capper 2</t>
  </si>
  <si>
    <t xml:space="preserve"> Remote access for Remote Diagnostic Service (ReDiS)</t>
  </si>
  <si>
    <t xml:space="preserve"> Measuring, control and regulating equipment</t>
  </si>
  <si>
    <t xml:space="preserve"> Switch cabinet</t>
  </si>
  <si>
    <t xml:space="preserve"> Measuring technology</t>
  </si>
  <si>
    <t xml:space="preserve"> Control technology</t>
  </si>
  <si>
    <t xml:space="preserve"> Regulating equipment</t>
  </si>
  <si>
    <t xml:space="preserve"> Pneumatics</t>
  </si>
  <si>
    <t xml:space="preserve"> Energy-efficient operation</t>
  </si>
  <si>
    <t xml:space="preserve"> Assembly</t>
  </si>
  <si>
    <t xml:space="preserve"> Check the items included in the delivery and inspect the shipment</t>
  </si>
  <si>
    <t xml:space="preserve"> Transportation</t>
  </si>
  <si>
    <t xml:space="preserve"> Installation</t>
  </si>
  <si>
    <t xml:space="preserve"> Connection</t>
  </si>
  <si>
    <t xml:space="preserve"> Commissioning</t>
  </si>
  <si>
    <t xml:space="preserve"> Decommissioning</t>
  </si>
  <si>
    <t xml:space="preserve"> Storage</t>
  </si>
  <si>
    <t xml:space="preserve"> Recommissioning</t>
  </si>
  <si>
    <t xml:space="preserve"> Disposal</t>
  </si>
  <si>
    <t xml:space="preserve"> Operation</t>
  </si>
  <si>
    <t xml:space="preserve"> Safety instructions</t>
  </si>
  <si>
    <t xml:space="preserve"> Emergency stop</t>
  </si>
  <si>
    <t xml:space="preserve"> Opening and closing doors in the machine paneling</t>
  </si>
  <si>
    <t xml:space="preserve"> Signal lamp</t>
  </si>
  <si>
    <t xml:space="preserve"> Signal horn</t>
  </si>
  <si>
    <t xml:space="preserve"> Lift cylinder warning light</t>
  </si>
  <si>
    <t xml:space="preserve"> Operator panels</t>
  </si>
  <si>
    <t xml:space="preserve"> Security key</t>
  </si>
  <si>
    <t xml:space="preserve"> Main switch</t>
  </si>
  <si>
    <t xml:space="preserve"> Jog</t>
  </si>
  <si>
    <t xml:space="preserve"> Preparing for operation</t>
  </si>
  <si>
    <t xml:space="preserve"> Production</t>
  </si>
  <si>
    <t xml:space="preserve"> Requirements</t>
  </si>
  <si>
    <t xml:space="preserve"> Preparing the filler</t>
  </si>
  <si>
    <t xml:space="preserve"> Starting production</t>
  </si>
  <si>
    <t xml:space="preserve"> Monitor</t>
  </si>
  <si>
    <t xml:space="preserve"> Taking a product sample</t>
  </si>
  <si>
    <t xml:space="preserve"> Interrupting production</t>
  </si>
  <si>
    <t xml:space="preserve"> Interim rinsing</t>
  </si>
  <si>
    <t xml:space="preserve"> Ending production</t>
  </si>
  <si>
    <t xml:space="preserve"> Cleaning</t>
  </si>
  <si>
    <t xml:space="preserve"> Prerequisites</t>
  </si>
  <si>
    <t xml:space="preserve"> Preparation</t>
  </si>
  <si>
    <t xml:space="preserve"> Cleaning program for the filler</t>
  </si>
  <si>
    <t xml:space="preserve"> Cleaning accessories</t>
  </si>
  <si>
    <t xml:space="preserve"> Cleaning the machine exterior</t>
  </si>
  <si>
    <t xml:space="preserve"> Setup</t>
  </si>
  <si>
    <t xml:space="preserve"> Running empty</t>
  </si>
  <si>
    <t xml:space="preserve"> Setting the setup height</t>
  </si>
  <si>
    <t xml:space="preserve"> Changing format parts</t>
  </si>
  <si>
    <t xml:space="preserve"> CIP cleaning</t>
  </si>
  <si>
    <t xml:space="preserve"> Setting the production height</t>
  </si>
  <si>
    <t xml:space="preserve"> Exterior cleaning</t>
  </si>
  <si>
    <t xml:space="preserve"> Follow-up tasks</t>
  </si>
  <si>
    <t xml:space="preserve"> Taking the machine out of operation</t>
  </si>
  <si>
    <t xml:space="preserve"> Servicing</t>
  </si>
  <si>
    <t xml:space="preserve"> Instructions on maintenance tasks</t>
  </si>
  <si>
    <t xml:space="preserve"> Adhering to regulations</t>
  </si>
  <si>
    <t xml:space="preserve"> Setup operating mode</t>
  </si>
  <si>
    <t xml:space="preserve"> Disconnecting and securing</t>
  </si>
  <si>
    <t xml:space="preserve"> Emptying the machine</t>
  </si>
  <si>
    <t xml:space="preserve"> Maintenance</t>
  </si>
  <si>
    <t xml:space="preserve"> Notes on maintenance practices</t>
  </si>
  <si>
    <t xml:space="preserve"> Maintaining the seals</t>
  </si>
  <si>
    <t xml:space="preserve"> Maintenance schedule</t>
  </si>
  <si>
    <t xml:space="preserve"> Lubrication schedule</t>
  </si>
  <si>
    <t xml:space="preserve"> Repairs</t>
  </si>
  <si>
    <t xml:space="preserve"> Repair switch for conveyor</t>
  </si>
  <si>
    <t xml:space="preserve"> Tightening torques</t>
  </si>
  <si>
    <t xml:space="preserve"> Changing the feed screw</t>
  </si>
  <si>
    <t xml:space="preserve"> Adjusting the infeed screw</t>
  </si>
  <si>
    <t xml:space="preserve"> Replacing the glide strips</t>
  </si>
  <si>
    <t xml:space="preserve"> Cleaning the dirt collecting filter</t>
  </si>
  <si>
    <t xml:space="preserve"> Central lubrication system</t>
  </si>
  <si>
    <t xml:space="preserve"> Drive</t>
  </si>
  <si>
    <t xml:space="preserve"> Lift cylinder</t>
  </si>
  <si>
    <t xml:space="preserve"> Filter silencer on FRL group</t>
  </si>
  <si>
    <t xml:space="preserve"> Replacing a process valve</t>
  </si>
  <si>
    <t xml:space="preserve"> Height adjustment</t>
  </si>
  <si>
    <t xml:space="preserve"> Changing the seal in the articulated arm</t>
  </si>
  <si>
    <t xml:space="preserve"> Faults</t>
  </si>
  <si>
    <t xml:space="preserve"> Displays</t>
  </si>
  <si>
    <t xml:space="preserve"> Fault displayed by the signal lamp</t>
  </si>
  <si>
    <t xml:space="preserve"> Faults and warnings on the operator console</t>
  </si>
  <si>
    <t xml:space="preserve"> Display of faults in the overview screen</t>
  </si>
  <si>
    <t xml:space="preserve"> Rectifying faults</t>
  </si>
  <si>
    <t xml:space="preserve"> Eliminating fault messages from the overview screen</t>
  </si>
  <si>
    <t xml:space="preserve"> DP master system/Profibus</t>
  </si>
  <si>
    <t xml:space="preserve"> Malfunction in Electrical Area</t>
  </si>
  <si>
    <t xml:space="preserve"> Servo drive faults</t>
  </si>
  <si>
    <t xml:space="preserve"> Filler valve manifold</t>
  </si>
  <si>
    <t xml:space="preserve"> External UPS system</t>
  </si>
  <si>
    <t xml:space="preserve"> Teleservice operating mode</t>
  </si>
  <si>
    <t xml:space="preserve"> Technical data</t>
  </si>
  <si>
    <t xml:space="preserve"> Media requirements</t>
  </si>
  <si>
    <t xml:space="preserve"> Machine specifications</t>
  </si>
  <si>
    <t xml:space="preserve"> Pipeline diagrams</t>
  </si>
  <si>
    <t xml:space="preserve"> Media connection list</t>
  </si>
  <si>
    <t xml:space="preserve"> Noise emissions</t>
  </si>
  <si>
    <t xml:space="preserve"> Filler specification sheet</t>
  </si>
  <si>
    <t xml:space="preserve"> Settings</t>
  </si>
  <si>
    <t xml:space="preserve"> Labeling of interchangeable parts</t>
  </si>
  <si>
    <t xml:space="preserve"> Lubricants</t>
  </si>
  <si>
    <t xml:space="preserve"> Labelling of lubrication points</t>
  </si>
  <si>
    <t xml:space="preserve"> Labeling of equipment for disconnecting and securing</t>
  </si>
  <si>
    <t xml:space="preserve"> Detergent</t>
  </si>
  <si>
    <t xml:space="preserve"> Appendix</t>
  </si>
  <si>
    <t>\\uac.xorb.net\vdfs\Anwendungen\Dokumentation\Kundenprojekte\Dortmund\89407xxx\894075xx\89407506_Belle Rose\BA_Betriebsanleitungen\BA_89407506_000700__Innofill Glasflaschenfüllmachine_EN_01.pdf</t>
  </si>
  <si>
    <t>\\uac.xorb.net\vdfs\Anwendungen\Dokumentation\Kundenprojekte\Dortmund\89405xxx\894055xx\89405529_Itabirito\BA_Betriebsanleitungen\BA_89405529_000300__Innofill Glasflaschenfüllmaschine_PT_01.pdf</t>
  </si>
  <si>
    <t>\\uac.xorb.net\vdfs\Anwendungen\Dokumentation\Kundenprojekte\Dortmund\89407xxx\894073xx\89407388_Jupille-Sur-Meuse\BA_Betriebsanleitungen\BA_89407388_000100__Innofill Glasflaschenfüllmaschine_EN_00.pdf</t>
  </si>
  <si>
    <t>2 Safety information............................................................................................................ 13</t>
  </si>
  <si>
    <t>2.8.8 Equipment for disconnecting and securing.............................................................. 30</t>
  </si>
  <si>
    <t>2.12 Residual risks............................................................................................................. 37</t>
  </si>
  <si>
    <t xml:space="preserve"> Safety information</t>
  </si>
  <si>
    <t xml:space="preserve"> Vacuum pump</t>
  </si>
  <si>
    <t xml:space="preserve"> High-pressure injection system</t>
  </si>
  <si>
    <t xml:space="preserve"> Water flushoff</t>
  </si>
  <si>
    <t xml:space="preserve"> Workstations and operating controls</t>
  </si>
  <si>
    <t xml:space="preserve"> Front side</t>
  </si>
  <si>
    <t xml:space="preserve"> Rear side</t>
  </si>
  <si>
    <t xml:space="preserve"> Capper</t>
  </si>
  <si>
    <t xml:space="preserve"> Jogging</t>
  </si>
  <si>
    <t xml:space="preserve"> Setting up</t>
  </si>
  <si>
    <t xml:space="preserve"> External cleaning</t>
  </si>
  <si>
    <t xml:space="preserve"> Maintaining seals</t>
  </si>
  <si>
    <t xml:space="preserve"> Lubricating and cleaning instructions</t>
  </si>
  <si>
    <t xml:space="preserve"> Changing the feed screw </t>
  </si>
  <si>
    <t xml:space="preserve"> Adjusting the feed screw </t>
  </si>
  <si>
    <t xml:space="preserve"> Explanation of terms</t>
  </si>
  <si>
    <t xml:space="preserve"> Water</t>
  </si>
  <si>
    <t xml:space="preserve"> Air</t>
  </si>
  <si>
    <t xml:space="preserve"> Pressurization gases</t>
  </si>
  <si>
    <t xml:space="preserve"> Products to be filled</t>
  </si>
  <si>
    <t xml:space="preserve"> Information on lubricant identifiers</t>
  </si>
  <si>
    <t xml:space="preserve"> Thresholds for surface cleaning</t>
  </si>
  <si>
    <t>Innofill Glass NDRT</t>
  </si>
  <si>
    <t xml:space="preserve"> Integrated components</t>
  </si>
  <si>
    <t xml:space="preserve"> Production with flammable liquids</t>
  </si>
  <si>
    <t xml:space="preserve"> Cleanroom</t>
  </si>
  <si>
    <t xml:space="preserve"> Hygiene measures</t>
  </si>
  <si>
    <t xml:space="preserve"> Machine drive</t>
  </si>
  <si>
    <t xml:space="preserve"> Automatic external cleaning</t>
  </si>
  <si>
    <t xml:space="preserve"> Sealer</t>
  </si>
  <si>
    <t xml:space="preserve"> Entering the cleanroom</t>
  </si>
  <si>
    <t xml:space="preserve"> Preparing the cleanroom</t>
  </si>
  <si>
    <t xml:space="preserve"> Starting the automatic exterior cleaning process</t>
  </si>
  <si>
    <t xml:space="preserve"> Setting the cleaning height</t>
  </si>
  <si>
    <t xml:space="preserve"> Adjusting the Trinox pipe</t>
  </si>
  <si>
    <t xml:space="preserve"> Screw capper</t>
  </si>
  <si>
    <t>2.8.3 Emergency stop switch............................................................................................ 25</t>
  </si>
  <si>
    <t>2.8.4 Relief valve.............................................................................................................. 26</t>
  </si>
  <si>
    <t>2.8.6 Escape unlock......................................................................................................... 28</t>
  </si>
  <si>
    <t>3.1.7 Filler base................................................................................................................ 66</t>
  </si>
  <si>
    <t xml:space="preserve"> Distributor manifold</t>
  </si>
  <si>
    <t xml:space="preserve"> Filling valve and machine control system</t>
  </si>
  <si>
    <t xml:space="preserve"> Start-up warning</t>
  </si>
  <si>
    <t xml:space="preserve"> Execution</t>
  </si>
  <si>
    <t xml:space="preserve"> Changing the components of the pneumatic safety system</t>
  </si>
  <si>
    <t xml:space="preserve"> Changing the seal in the rinsing sleeve</t>
  </si>
  <si>
    <t xml:space="preserve"> Displaying faults on the overview screen in the operator guidance section</t>
  </si>
  <si>
    <t xml:space="preserve"> Safety harness dimensions</t>
  </si>
  <si>
    <t xml:space="preserve"> Steam</t>
  </si>
  <si>
    <t xml:space="preserve"> Cleaning recommendations</t>
  </si>
  <si>
    <t xml:space="preserve"> Certification of lubricants</t>
  </si>
  <si>
    <t xml:space="preserve"> Certificates</t>
  </si>
  <si>
    <t>\\uac.xorb.net\vdfs\Anwendungen\Dokumentation\Kundenprojekte\Dortmund\89407xxx\894072xx\89407260_Bunnik\BA_Betriebsanleitungen\BA_89407260_000300__Innofill Glasflaschenfüllmaschine_EN_00.pdf</t>
  </si>
  <si>
    <t>\\uac.xorb.net\vdfs\Anwendungen\Dokumentation\Kundenprojekte\Dortmund\89407xxx\894073xx\89407304_Masan\BA_Betriebsanleitungen\BA_89407304_001300__Innofill Glasflaschenfüllmaschine_EN_01.pdf</t>
  </si>
  <si>
    <t xml:space="preserve"> EC declaration of conformity</t>
  </si>
  <si>
    <t xml:space="preserve"> Rinser</t>
  </si>
  <si>
    <t>\\uac.xorb.net\vdfs\Anwendungen\Dokumentation\Kundenprojekte\Dortmund\89407xxx\894071xx\89407100_Polo\BA_Betriebsanleitungen\BA_89407100_000200__Innofill Glasflaschenfüllmaschine_EN_01.pdf</t>
  </si>
  <si>
    <t>\\uac.xorb.net\vdfs\Anwendungen\Dokumentation\Kundenprojekte\Dortmund\89407xxx\894071xx\89407146_Suva\BA_Betriebsanleitungen\BA_89407146_000100__Innofill Glasflaschenfüllmaschine_EN_01.pdf</t>
  </si>
  <si>
    <t>\\uac.xorb.net\vdfs\Anwendungen\Dokumentation\Kundenprojekte\Dortmund\89407xxx\894070xx\89407097_San Fernando\BA_Betriebsanleitungen\BA_89407097_000100__Innofill Glasflaschenfüllmaschine_EN_01.pdf</t>
  </si>
  <si>
    <t xml:space="preserve"> Stop fixture for fall guard</t>
  </si>
  <si>
    <t xml:space="preserve"> Equipment for isolating and securing</t>
  </si>
  <si>
    <t xml:space="preserve"> Run out</t>
  </si>
  <si>
    <t>\\uac.xorb.net\vdfs\Anwendungen\Dokumentation\Kundenprojekte\Dortmund\89406xxx\894069xx\89406945_Gondar\BA_Betriebsanleitungen\BA_89406945_000800__Innofill Glasflaschenfüllmaschine_EN_01.pdf</t>
  </si>
  <si>
    <t xml:space="preserve"> Mandatory action signs</t>
  </si>
  <si>
    <t>\\uac.xorb.net\vdfs\Anwendungen\Dokumentation\Kundenprojekte\Dortmund\89406xxx\894069xx\89406943_Debre Birhan\BA_Betriebsanleitungen\BA_89406943_000800__Innofill Glasflaschenfüllmaschine_EN_01.pdf</t>
  </si>
  <si>
    <t>2.7.3 Mandatory action signs............................................................................................ 21</t>
  </si>
  <si>
    <t>\\uac.xorb.net\vdfs\Anwendungen\Dokumentation\Kundenprojekte\Dortmund\89406xxx\894068xx\89406892_Rosslyn\BA_Betriebsanleitungen\BA_89406892_000200__Innofill Glasflaschenfüllmaschine_EN_01.pdf</t>
  </si>
  <si>
    <t>Innofill Glass DNRT</t>
  </si>
  <si>
    <t xml:space="preserve"> Labelling of equipment for disconnecting and securing</t>
  </si>
  <si>
    <t>\\uac.xorb.net\vdfs\Anwendungen\Dokumentation\Kundenprojekte\Dortmund\89406xxx\894068xx\89406814_Masan\BA_Betriebsanleitungen\BA_89406814_000100__Innofill Glasflaschenfüllmaschine_EN_01.pdf</t>
  </si>
  <si>
    <t>5.5 Jogging.................................................................................................................... 298</t>
  </si>
  <si>
    <t>5.6 Preparing for operation............................................................................................ 300</t>
  </si>
  <si>
    <t>5.7.1 Safety instructions................................................................................................. 305</t>
  </si>
  <si>
    <t>5.8 Cleaning................................................................................................................... 316</t>
  </si>
  <si>
    <t>5.9 Setup........................................................................................................................ 331</t>
  </si>
  <si>
    <t>5.9.2 Preparation............................................................................................................ 332</t>
  </si>
  <si>
    <t xml:space="preserve"> General information </t>
  </si>
  <si>
    <t xml:space="preserve"> Notes on reading this manual </t>
  </si>
  <si>
    <t xml:space="preserve"> Location of labels</t>
  </si>
  <si>
    <t xml:space="preserve"> Access barrier</t>
  </si>
  <si>
    <t xml:space="preserve"> Operating status: Off</t>
  </si>
  <si>
    <t xml:space="preserve"> Operating status: On</t>
  </si>
  <si>
    <t xml:space="preserve"> Time interval</t>
  </si>
  <si>
    <t xml:space="preserve"> Transporting</t>
  </si>
  <si>
    <t xml:space="preserve"> Machine status indicator light</t>
  </si>
  <si>
    <t xml:space="preserve"> Minor intervention list</t>
  </si>
  <si>
    <t xml:space="preserve"> Implementation</t>
  </si>
  <si>
    <t xml:space="preserve"> Running until empty</t>
  </si>
  <si>
    <t xml:space="preserve"> Isolating and securing</t>
  </si>
  <si>
    <t xml:space="preserve"> Maintenance work schedule</t>
  </si>
  <si>
    <t xml:space="preserve"> Lubrication schedule </t>
  </si>
  <si>
    <t xml:space="preserve"> Repair switch</t>
  </si>
  <si>
    <t xml:space="preserve"> Changing glide strips</t>
  </si>
  <si>
    <t>\\uac.xorb.net\vdfs\Anwendungen\Dokumentation\Kundenprojekte\Dortmund\89406xxx\894066xx\89406651_6th of October City\BA_Betriebsanleitungen\BA_89406651_000400__Innofill Glasflaschenfüllmaschine_EN_00.pdf</t>
  </si>
  <si>
    <t xml:space="preserve"> Thread spraying</t>
  </si>
  <si>
    <t xml:space="preserve"> Automatic steaming</t>
  </si>
  <si>
    <t xml:space="preserve"> Ring crown capper</t>
  </si>
  <si>
    <t xml:space="preserve"> Changing an IO link valve</t>
  </si>
  <si>
    <t>\\uac.xorb.net\vdfs\Anwendungen\Dokumentation\Kundenprojekte\Dortmund\89406xxx\894064xx\89406479_Huntingwood\BA_Betriebsanleitungen\BA_89406479_000200__Innofill Glasflaschenfüllmaschine_EN_01.pdf</t>
  </si>
  <si>
    <t xml:space="preserve"> Spraying systems</t>
  </si>
  <si>
    <t xml:space="preserve"> Changing bottle guide stars</t>
  </si>
  <si>
    <t xml:space="preserve"> Setting up the filling height adjustment</t>
  </si>
  <si>
    <t xml:space="preserve"> Display of faults via the machine status indicator light</t>
  </si>
  <si>
    <t xml:space="preserve"> Activating ReDis single</t>
  </si>
  <si>
    <t xml:space="preserve"> Settings for natural cork capper</t>
  </si>
  <si>
    <t>2.8.5 Stop fixture for fall guard......................................................................................... 27</t>
  </si>
  <si>
    <t>3.1.1 Cleanroom............................................................................................................... 43</t>
  </si>
  <si>
    <t>3.1.2 Bottle flow................................................................................................................ 45</t>
  </si>
  <si>
    <t>3.1.3 Bottle conveyor........................................................................................................ 46</t>
  </si>
  <si>
    <t>3.1.4 Synchronization....................................................................................................... 49</t>
  </si>
  <si>
    <t>3.1.5 Valve manifold......................................................................................................... 50</t>
  </si>
  <si>
    <t>3.1.6 Vacuum pump......................................................................................................... 62</t>
  </si>
  <si>
    <t>3.1.8 Filler turret............................................................................................................... 74</t>
  </si>
  <si>
    <t>3.1.9 Filling valve and machine control system................................................................ 82</t>
  </si>
  <si>
    <t>3.1.10 Broken glass removal............................................................................................ 102</t>
  </si>
  <si>
    <t>3.1.11 High-pressure injection system............................................................................. 104</t>
  </si>
  <si>
    <t>3.1.12 Crown corker......................................................................................................... 107</t>
  </si>
  <si>
    <t>3.1.13 Water flushoff........................................................................................................ 121</t>
  </si>
  <si>
    <t>3.1.14 Bottle shower......................................................................................................... 123</t>
  </si>
  <si>
    <t>3.2 Workstations and operating controls....................................................................... 124</t>
  </si>
  <si>
    <t>3.3 Signaling equipment................................................................................................ 126</t>
  </si>
  <si>
    <t>3.4 Measuring, control and regulating equipment.......................................................... 126</t>
  </si>
  <si>
    <t>3.4.1 Switch cabinet....................................................................................................... 126</t>
  </si>
  <si>
    <t>3.4.2 Measuring technology........................................................................................... 128</t>
  </si>
  <si>
    <t>3.4.3 Control technology................................................................................................. 130</t>
  </si>
  <si>
    <t>3.4.4 Regulating equipment............................................................................................ 132</t>
  </si>
  <si>
    <t>3.4.5 Pneumatics............................................................................................................ 136</t>
  </si>
  <si>
    <t>3.5 Energy-efficient operation........................................................................................ 143</t>
  </si>
  <si>
    <t>4 Assembly........................................................................................................................ 145</t>
  </si>
  <si>
    <t>4.1 Check the items included in the delivery and inspect the shipment........................ 145</t>
  </si>
  <si>
    <t>4.2 Transportation.......................................................................................................... 145</t>
  </si>
  <si>
    <t>4.3 Installation................................................................................................................ 146</t>
  </si>
  <si>
    <t>4.4 Connection............................................................................................................... 146</t>
  </si>
  <si>
    <t>4.5 Commissioning........................................................................................................ 147</t>
  </si>
  <si>
    <t>4.6 Decommissioning..................................................................................................... 148</t>
  </si>
  <si>
    <t>4.7 Storage.................................................................................................................... 148</t>
  </si>
  <si>
    <t>4.8 Recommissioning..................................................................................................... 149</t>
  </si>
  <si>
    <t>4.9 Disposal................................................................................................................... 150</t>
  </si>
  <si>
    <t>5 Operation........................................................................................................................ 151</t>
  </si>
  <si>
    <t>5.1 Safety instructions.................................................................................................... 151</t>
  </si>
  <si>
    <t>5.2 Safety equipment..................................................................................................... 151</t>
  </si>
  <si>
    <t>5.2.1 Emergency stop..................................................................................................... 151</t>
  </si>
  <si>
    <t>5.2.2 Entering the cleanroom......................................................................................... 153</t>
  </si>
  <si>
    <t>5.2.3 Opening and closing doors in the machine paneling............................................. 154</t>
  </si>
  <si>
    <t>5.3 Signaling equipment................................................................................................ 156</t>
  </si>
  <si>
    <t>5.3.1 Signal lamp............................................................................................................ 156</t>
  </si>
  <si>
    <t>5.3.2 Signal horn............................................................................................................ 156</t>
  </si>
  <si>
    <t>5.3.3 Lift cylinder warning light....................................................................................... 157</t>
  </si>
  <si>
    <t>5.4 Operating controls.................................................................................................... 158</t>
  </si>
  <si>
    <t>5.4.1 Operator console................................................................................................... 158</t>
  </si>
  <si>
    <t>5.4.2 Operator panels..................................................................................................... 289</t>
  </si>
  <si>
    <t>5.4.3 Security key........................................................................................................... 296</t>
  </si>
  <si>
    <t>5.4.4 Main switch............................................................................................................ 298</t>
  </si>
  <si>
    <t>5.6.1 Preparing the cleanroom....................................................................................... 304</t>
  </si>
  <si>
    <t>5.7 Production................................................................................................................ 305</t>
  </si>
  <si>
    <t>5.7.2 Requirements........................................................................................................ 306</t>
  </si>
  <si>
    <t>5.7.3 Preparation............................................................................................................ 306</t>
  </si>
  <si>
    <t>5.7.4 Starting production................................................................................................ 312</t>
  </si>
  <si>
    <t>5.7.5 Monitor................................................................................................................... 313</t>
  </si>
  <si>
    <t>5.7.6 Taking a product sample....................................................................................... 313</t>
  </si>
  <si>
    <t>5.7.7 Interrupting production........................................................................................... 314</t>
  </si>
  <si>
    <t>5.7.8 Interim rinsing........................................................................................................ 314</t>
  </si>
  <si>
    <t>5.7.9 Entering the cleanroom......................................................................................... 316</t>
  </si>
  <si>
    <t>5.7.10 Ending production.................................................................................................. 316</t>
  </si>
  <si>
    <t>5.8.1 Safety instructions................................................................................................. 318</t>
  </si>
  <si>
    <t>5.8.2 Prerequisites.......................................................................................................... 318</t>
  </si>
  <si>
    <t>5.8.3 Preparation............................................................................................................ 318</t>
  </si>
  <si>
    <t>5.8.4 Execution............................................................................................................... 322</t>
  </si>
  <si>
    <t>5.8.5 Cleaning accessories............................................................................................ 324</t>
  </si>
  <si>
    <t>5.8.6 Cleaning the machine exterior............................................................................... 327</t>
  </si>
  <si>
    <t>5.9.1 Safety instructions................................................................................................. 332</t>
  </si>
  <si>
    <t>5.9.3 Running empty...................................................................................................... 332</t>
  </si>
  <si>
    <t>5.9.4 Interim rinsing........................................................................................................ 334</t>
  </si>
  <si>
    <t>5.9.5 Setting the cleaning height.................................................................................... 334</t>
  </si>
  <si>
    <t>5.9.6 Changing format parts........................................................................................... 340</t>
  </si>
  <si>
    <t>5.9.7 Filling valve............................................................................................................ 350</t>
  </si>
  <si>
    <t>5.9.8 Crown corker......................................................................................................... 351</t>
  </si>
  <si>
    <t>5.9.9 Bottle shower......................................................................................................... 354</t>
  </si>
  <si>
    <t>5.9.10 CIP cleaning.......................................................................................................... 355</t>
  </si>
  <si>
    <t>5.9.11 Setting the production height................................................................................. 355</t>
  </si>
  <si>
    <t>5.9.12 External cleaning................................................................................................... 361</t>
  </si>
  <si>
    <t>5.9.13 Starting production................................................................................................ 362</t>
  </si>
  <si>
    <t>5.9.14 Follow-up tasks...................................................................................................... 362</t>
  </si>
  <si>
    <t>5.10 Taking the machine out of operation....................................................................... 362</t>
  </si>
  <si>
    <t>6 Servicing......................................................................................................................... 367</t>
  </si>
  <si>
    <t>6.1 Safety instructions.................................................................................................... 367</t>
  </si>
  <si>
    <t>6.2 Instructions on maintenance tasks.......................................................................... 368</t>
  </si>
  <si>
    <t>6.3 Adhering to regulations............................................................................................ 368</t>
  </si>
  <si>
    <t>6.4 Setup operating mode............................................................................................. 369</t>
  </si>
  <si>
    <t>6.5 Disconnecting and securing..................................................................................... 369</t>
  </si>
  <si>
    <t>6.5.1 Emptying the machine........................................................................................... 376</t>
  </si>
  <si>
    <t>6.6 Maintenance............................................................................................................ 377</t>
  </si>
  <si>
    <t>6.6.1 Safety instructions................................................................................................. 377</t>
  </si>
  <si>
    <t>6.6.2 Notes on maintenance practices........................................................................... 378</t>
  </si>
  <si>
    <t>6.6.3 Maintaining seals................................................................................................... 378</t>
  </si>
  <si>
    <t>6.6.4 Maintenance schedule........................................................................................... 379</t>
  </si>
  <si>
    <t>6.6.5 Lubrication schedule.............................................................................................. 388</t>
  </si>
  <si>
    <t>6.6.6 Lubricating and cleaning instructions.................................................................... 396</t>
  </si>
  <si>
    <t>6.7 Repairs..................................................................................................................... 400</t>
  </si>
  <si>
    <t>6.7.1 Tightening torques................................................................................................. 401</t>
  </si>
  <si>
    <t>6.7.2 Changing the feed screw ...................................................................................... 403</t>
  </si>
  <si>
    <t>6.7.3 Adjusting the feed screw ...................................................................................... 405</t>
  </si>
  <si>
    <t>6.7.4 Changing glide strips............................................................................................. 406</t>
  </si>
  <si>
    <t>6.7.5 Central lubrication system..................................................................................... 407</t>
  </si>
  <si>
    <t>6.7.6 Changing the components of the pneumatic safety system.................................. 408</t>
  </si>
  <si>
    <t>6.7.7 Drive...................................................................................................................... 409</t>
  </si>
  <si>
    <t>6.7.8 Lift cylinder............................................................................................................ 412</t>
  </si>
  <si>
    <t>6.7.9 Filling valve............................................................................................................ 421</t>
  </si>
  <si>
    <t>6.7.10 Height adjustment.................................................................................................. 433</t>
  </si>
  <si>
    <t>6.7.11 Changing the seal in the articulated arm............................................................... 440</t>
  </si>
  <si>
    <t>6.7.12 Crown corker......................................................................................................... 441</t>
  </si>
  <si>
    <t>7 Faults.............................................................................................................................. 453</t>
  </si>
  <si>
    <t>7.1 Safety instructions.................................................................................................... 453</t>
  </si>
  <si>
    <t>7.2 Displays................................................................................................................... 453</t>
  </si>
  <si>
    <t>7.2.1 Fault displayed by the signal lamp........................................................................ 453</t>
  </si>
  <si>
    <t>7.2.2 Displaying machine automation fault messages................................................... 455</t>
  </si>
  <si>
    <t>7.2.3 Faults and warnings on the operator console........................................................ 455</t>
  </si>
  <si>
    <t>7.2.4 Displaying faults on the overview screen in the operator guidance section.......... 456</t>
  </si>
  <si>
    <t>7.3 Rectifying faults........................................................................................................ 457</t>
  </si>
  <si>
    <t>7.3.1 Eliminating fault messages from the overview screen........................................... 457</t>
  </si>
  <si>
    <t>7.3.2 DP master system/Profibus................................................................................... 460</t>
  </si>
  <si>
    <t>7.3.3 Malfunction in Electrical Area................................................................................ 462</t>
  </si>
  <si>
    <t>7.3.4 Machine paneling.................................................................................................. 464</t>
  </si>
  <si>
    <t>7.3.5 Central lubrication system..................................................................................... 471</t>
  </si>
  <si>
    <t>7.3.6 Servo drive faults................................................................................................... 472</t>
  </si>
  <si>
    <t>7.3.7 Filler....................................................................................................................... 476</t>
  </si>
  <si>
    <t>7.3.8 Filling valve............................................................................................................ 484</t>
  </si>
  <si>
    <t>7.3.9 Crown corker......................................................................................................... 498</t>
  </si>
  <si>
    <t>7.3.10 Valve manifold....................................................................................................... 502</t>
  </si>
  <si>
    <t>8 Technical data................................................................................................................ 509</t>
  </si>
  <si>
    <t>8.1 Safety harness dimensions...................................................................................... 509</t>
  </si>
  <si>
    <t>8.2 Media requirements................................................................................................. 510</t>
  </si>
  <si>
    <t>8.2.1 Explanation of terms.............................................................................................. 510</t>
  </si>
  <si>
    <t>8.2.2 Water..................................................................................................................... 511</t>
  </si>
  <si>
    <t>8.2.3 Air.......................................................................................................................... 517</t>
  </si>
  <si>
    <t>8.2.4 Pressurization gases............................................................................................. 518</t>
  </si>
  <si>
    <t>8.2.5 Steam.................................................................................................................... 518</t>
  </si>
  <si>
    <t>8.2.6 Products to be filled............................................................................................... 519</t>
  </si>
  <si>
    <t>8.2.7 Cleaning recommendations................................................................................... 520</t>
  </si>
  <si>
    <t>8.3 Operation................................................................................................................. 534</t>
  </si>
  <si>
    <t>8.3.1 Machine specifications.......................................................................................... 534</t>
  </si>
  <si>
    <t>8.3.2 Pipeline diagrams.................................................................................................. 535</t>
  </si>
  <si>
    <t>8.3.3 Noise emissions.................................................................................................... 549</t>
  </si>
  <si>
    <t>8.3.4 Filler specification sheet........................................................................................ 551</t>
  </si>
  <si>
    <t>8.3.5 Settings.................................................................................................................. 557</t>
  </si>
  <si>
    <t>8.4 Servicing.................................................................................................................. 559</t>
  </si>
  <si>
    <t>8.4.1 Information on lubricant identifiers......................................................................... 559</t>
  </si>
  <si>
    <t>8.4.2 Certification of lubricants....................................................................................... 560</t>
  </si>
  <si>
    <t>8.4.3 Thresholds for surface cleaning............................................................................ 560</t>
  </si>
  <si>
    <t>8.5 Certificates............................................................................................................... 567</t>
  </si>
  <si>
    <t>8.5.1 Energy-efficient operation...................................................................................... 567</t>
  </si>
  <si>
    <t>9 Appendix........................................................................................................................ 569</t>
  </si>
  <si>
    <t xml:space="preserve"> Displaying machine automation fault messages</t>
  </si>
  <si>
    <t>\\uac.xorb.net\vdfs\Anwendungen\Dokumentation\Kundenprojekte\Dortmund\89406xxx\894064xx\89406445_Milwaukee\BA_Betriebsanleitungen\BA_89406445_000500__Innofill Glasflaschenfüllmaschine_EN_01.pdf</t>
  </si>
  <si>
    <t>Distribuidor de nós</t>
  </si>
  <si>
    <t>\\uac.xorb.net\vdfs\Anwendungen\Dokumentation\Kundenprojekte\Dortmund\89406xxx\894064xx\89406462_Landiras\BA_Betriebsanleitungen\BA_89406462_000200__Innofill Glasflaschenfüllmaschine_EN_00.pdf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</si>
</sst>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9" fontId="3" fillId="0" borderId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ill="1"/>
    <xf numFmtId="0" fontId="0" fillId="2" borderId="0" xfId="0" applyFill="1"/>
    <xf numFmtId="0" fontId="4" fillId="0" borderId="0" xfId="0" applyFont="1" applyAlignment="1"/>
    <xf numFmtId="0" fontId="1" fillId="0" borderId="1" xfId="0" applyFont="1" applyBorder="1"/>
    <xf numFmtId="0" fontId="5" fillId="0" borderId="0" xfId="0" applyFont="1" applyAlignment="1">
      <alignment horizontal="center" wrapText="1"/>
    </xf>
    <xf numFmtId="9" fontId="6" fillId="0" borderId="0" xfId="1" applyFont="1" applyAlignment="1">
      <alignment horizontal="center" vertical="center"/>
    </xf>
    <xf numFmtId="0" fontId="7" fillId="0" borderId="0" xfId="0" applyFont="1" applyFill="1" applyAlignment="1">
      <alignment vertical="center"/>
    </xf>
    <xf numFmtId="49" fontId="0" fillId="0" borderId="0" xfId="0" applyNumberFormat="1"/>
    <xf numFmtId="0" fontId="0" fillId="3" borderId="0" xfId="0" applyFill="1"/>
    <xf numFmtId="0" fontId="9" fillId="0" borderId="0" xfId="3" applyFont="1"/>
    <xf numFmtId="0" fontId="5" fillId="0" borderId="0" xfId="0" applyFont="1" applyAlignment="1">
      <alignment horizontal="center" wrapText="1"/>
    </xf>
    <xf numFmtId="0" fontId="7" fillId="4" borderId="0" xfId="0" applyFont="1" applyFill="1" applyAlignment="1">
      <alignment vertical="center"/>
    </xf>
    <xf numFmtId="0" fontId="0" fillId="4" borderId="0" xfId="0" applyFill="1"/>
    <xf numFmtId="0" fontId="8" fillId="0" borderId="0" xfId="3"/>
  </cellXfs>
  <cellStyles count="4">
    <cellStyle name="Hiperlink" xfId="3" builtinId="8"/>
    <cellStyle name="Normal" xfId="0" builtinId="0"/>
    <cellStyle name="Porcentagem" xfId="1" builtinId="5"/>
    <cellStyle name="Standard_Tabelle1" xfId="2" xr:uid="{0BEA0DBF-7A9F-4BF9-9113-2DF8CCFBEFE3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../../../../Anwendungen/Dokumentation/Kundenprojekte/Dortmund/89406xxx/894067xx/89406711_La%20Rinconada/BA_Betriebsanleitungen/BA_89406711_000100__Innofill%20Glasflaschenf&#252;llmaschine_ES_01.pdf" TargetMode="External"/><Relationship Id="rId1" Type="http://schemas.openxmlformats.org/officeDocument/2006/relationships/hyperlink" Target="../../../../../../Anwendungen/Dokumentation/Kundenprojekte/Dortmund/89406xxx/894068xx/89406826_Espinardo/BA_Betriebsanleitungen/BA_89406826_000200__Innofill%20Glasflaschenf&#252;llmaschine_ES_0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E3C4-4E91-468F-B50A-43B981FAA79E}">
  <dimension ref="A1:AL284"/>
  <sheetViews>
    <sheetView tabSelected="1"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59" sqref="A259"/>
    </sheetView>
  </sheetViews>
  <sheetFormatPr defaultRowHeight="15" x14ac:dyDescent="0.25"/>
  <cols>
    <col min="1" max="1" width="18.85546875" style="3" customWidth="1"/>
    <col min="2" max="2" width="61.5703125" style="3" customWidth="1"/>
    <col min="3" max="36" width="45.85546875" customWidth="1"/>
  </cols>
  <sheetData>
    <row r="1" spans="1:36" x14ac:dyDescent="0.25">
      <c r="C1">
        <f>COUNTA(C6:C284)</f>
        <v>197</v>
      </c>
      <c r="D1">
        <f t="shared" ref="D1:AB1" si="0">COUNTA(D6:D284)</f>
        <v>204</v>
      </c>
      <c r="E1">
        <f t="shared" si="0"/>
        <v>212</v>
      </c>
      <c r="F1">
        <f t="shared" si="0"/>
        <v>186</v>
      </c>
      <c r="G1">
        <f t="shared" si="0"/>
        <v>191</v>
      </c>
      <c r="H1">
        <f t="shared" si="0"/>
        <v>187</v>
      </c>
      <c r="I1">
        <f t="shared" si="0"/>
        <v>184</v>
      </c>
      <c r="J1">
        <f t="shared" si="0"/>
        <v>187</v>
      </c>
      <c r="K1">
        <f t="shared" si="0"/>
        <v>199</v>
      </c>
      <c r="L1">
        <f t="shared" si="0"/>
        <v>189</v>
      </c>
      <c r="M1">
        <f t="shared" si="0"/>
        <v>162</v>
      </c>
      <c r="N1">
        <f t="shared" si="0"/>
        <v>200</v>
      </c>
      <c r="O1">
        <f t="shared" si="0"/>
        <v>189</v>
      </c>
      <c r="P1">
        <f t="shared" si="0"/>
        <v>195</v>
      </c>
      <c r="Q1">
        <f t="shared" si="0"/>
        <v>188</v>
      </c>
      <c r="R1">
        <f t="shared" si="0"/>
        <v>196</v>
      </c>
      <c r="S1">
        <f t="shared" si="0"/>
        <v>202</v>
      </c>
      <c r="T1">
        <f t="shared" si="0"/>
        <v>202</v>
      </c>
      <c r="U1">
        <f t="shared" si="0"/>
        <v>198</v>
      </c>
      <c r="V1">
        <f t="shared" si="0"/>
        <v>200</v>
      </c>
      <c r="W1">
        <f t="shared" si="0"/>
        <v>199</v>
      </c>
      <c r="X1">
        <f t="shared" si="0"/>
        <v>194</v>
      </c>
      <c r="Y1">
        <f t="shared" si="0"/>
        <v>146</v>
      </c>
      <c r="Z1">
        <f t="shared" si="0"/>
        <v>205</v>
      </c>
      <c r="AA1">
        <f t="shared" si="0"/>
        <v>181</v>
      </c>
      <c r="AB1">
        <f t="shared" si="0"/>
        <v>190</v>
      </c>
      <c r="AC1">
        <f>COUNTA(AC6:AC216)</f>
        <v>0</v>
      </c>
      <c r="AD1">
        <f>COUNTA(AD6:AD200)</f>
        <v>0</v>
      </c>
      <c r="AE1">
        <f t="shared" ref="AE1:AJ1" si="1">COUNTA(AE6:AE199)</f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</row>
    <row r="2" spans="1:36" ht="23.25" x14ac:dyDescent="0.35">
      <c r="A2" s="11" t="s">
        <v>375</v>
      </c>
      <c r="B2" s="5"/>
      <c r="C2" s="10" t="s">
        <v>801</v>
      </c>
      <c r="D2" s="10" t="s">
        <v>801</v>
      </c>
      <c r="E2" s="10" t="s">
        <v>801</v>
      </c>
      <c r="F2" s="10" t="s">
        <v>801</v>
      </c>
      <c r="G2" s="10" t="s">
        <v>1119</v>
      </c>
      <c r="H2" s="10" t="s">
        <v>801</v>
      </c>
      <c r="I2" s="10" t="s">
        <v>801</v>
      </c>
      <c r="J2" s="10" t="s">
        <v>801</v>
      </c>
      <c r="K2" s="10" t="s">
        <v>1119</v>
      </c>
      <c r="L2" s="10" t="s">
        <v>1119</v>
      </c>
      <c r="M2" s="10" t="s">
        <v>1371</v>
      </c>
      <c r="N2" s="10" t="s">
        <v>1119</v>
      </c>
      <c r="O2" s="10" t="s">
        <v>801</v>
      </c>
      <c r="P2" s="10" t="s">
        <v>1685</v>
      </c>
      <c r="Q2" s="10" t="s">
        <v>801</v>
      </c>
      <c r="R2" s="10" t="s">
        <v>801</v>
      </c>
      <c r="S2" s="10" t="s">
        <v>1119</v>
      </c>
      <c r="T2" s="10" t="s">
        <v>1119</v>
      </c>
      <c r="U2" s="10" t="s">
        <v>1119</v>
      </c>
      <c r="V2" s="10" t="s">
        <v>1119</v>
      </c>
      <c r="W2" s="10" t="s">
        <v>1119</v>
      </c>
      <c r="X2" s="10" t="s">
        <v>1730</v>
      </c>
      <c r="Y2" s="10" t="s">
        <v>801</v>
      </c>
      <c r="Z2" s="10" t="s">
        <v>801</v>
      </c>
      <c r="AA2" s="10" t="s">
        <v>1730</v>
      </c>
      <c r="AB2" s="10" t="s">
        <v>801</v>
      </c>
      <c r="AC2" s="10"/>
      <c r="AD2" s="10"/>
      <c r="AE2" s="10"/>
      <c r="AF2" s="10"/>
      <c r="AG2" s="10"/>
      <c r="AH2" s="10"/>
      <c r="AI2" s="10"/>
      <c r="AJ2" s="10"/>
    </row>
    <row r="3" spans="1:36" ht="23.25" x14ac:dyDescent="0.35">
      <c r="A3" s="11"/>
      <c r="B3" s="5"/>
      <c r="C3">
        <v>10345827</v>
      </c>
      <c r="D3">
        <v>10342366</v>
      </c>
      <c r="E3">
        <v>10341681</v>
      </c>
      <c r="F3">
        <v>10340484</v>
      </c>
      <c r="G3">
        <v>10339863</v>
      </c>
      <c r="H3">
        <v>10339652</v>
      </c>
      <c r="I3">
        <v>10338463</v>
      </c>
      <c r="J3">
        <v>10337754</v>
      </c>
      <c r="K3">
        <v>10343818</v>
      </c>
      <c r="L3">
        <v>10338511</v>
      </c>
      <c r="N3">
        <v>10346557</v>
      </c>
      <c r="O3">
        <v>10345736</v>
      </c>
      <c r="P3">
        <v>10345324</v>
      </c>
      <c r="Q3">
        <v>10345053</v>
      </c>
      <c r="R3">
        <v>10344361</v>
      </c>
      <c r="S3">
        <v>10344025</v>
      </c>
      <c r="T3">
        <v>10343896</v>
      </c>
      <c r="U3">
        <v>10343135</v>
      </c>
      <c r="V3">
        <v>10343050</v>
      </c>
      <c r="W3">
        <v>10342722</v>
      </c>
      <c r="X3">
        <v>10342288</v>
      </c>
      <c r="Y3">
        <v>10341284</v>
      </c>
      <c r="Z3">
        <v>10340322</v>
      </c>
      <c r="AA3">
        <v>10340147</v>
      </c>
      <c r="AB3">
        <v>10340047</v>
      </c>
    </row>
    <row r="4" spans="1:36" ht="23.25" x14ac:dyDescent="0.35">
      <c r="A4" s="11"/>
      <c r="B4" s="5"/>
      <c r="C4" s="4">
        <v>89407406</v>
      </c>
      <c r="D4" s="4">
        <v>89406826</v>
      </c>
      <c r="E4" s="4">
        <v>89406711</v>
      </c>
      <c r="F4" s="4">
        <v>89406523</v>
      </c>
      <c r="G4" s="4">
        <v>89406414</v>
      </c>
      <c r="H4" s="4">
        <v>89406374</v>
      </c>
      <c r="I4" s="4">
        <v>89406168</v>
      </c>
      <c r="J4" s="4">
        <v>89406059</v>
      </c>
      <c r="K4" s="4">
        <v>89407064</v>
      </c>
      <c r="L4" s="4">
        <v>89406188</v>
      </c>
      <c r="M4" s="4">
        <v>89405529</v>
      </c>
      <c r="N4" s="4">
        <v>89407506</v>
      </c>
      <c r="O4" s="4">
        <v>89407388</v>
      </c>
      <c r="P4" s="4">
        <v>89407304</v>
      </c>
      <c r="Q4" s="4">
        <v>89407260</v>
      </c>
      <c r="R4" s="4">
        <v>89407146</v>
      </c>
      <c r="S4" s="4">
        <v>89407100</v>
      </c>
      <c r="T4" s="4">
        <v>89407097</v>
      </c>
      <c r="U4" s="4">
        <v>89406945</v>
      </c>
      <c r="V4" s="4">
        <v>89406943</v>
      </c>
      <c r="W4" s="4">
        <v>89406892</v>
      </c>
      <c r="X4" s="4">
        <v>89406814</v>
      </c>
      <c r="Y4" s="4">
        <v>89406651</v>
      </c>
      <c r="Z4" s="4">
        <v>89406479</v>
      </c>
      <c r="AA4" s="4">
        <v>89406462</v>
      </c>
      <c r="AB4" s="4">
        <v>89406445</v>
      </c>
      <c r="AC4" s="4"/>
      <c r="AD4" s="4"/>
      <c r="AE4" s="4"/>
      <c r="AF4" s="4"/>
      <c r="AG4" s="4"/>
      <c r="AH4" s="4"/>
      <c r="AI4" s="4"/>
      <c r="AJ4" s="4"/>
    </row>
    <row r="5" spans="1:36" x14ac:dyDescent="0.25">
      <c r="C5" t="s">
        <v>802</v>
      </c>
      <c r="D5" s="14" t="s">
        <v>973</v>
      </c>
      <c r="E5" s="14" t="s">
        <v>1109</v>
      </c>
      <c r="F5" t="s">
        <v>1110</v>
      </c>
      <c r="G5" t="s">
        <v>1120</v>
      </c>
      <c r="H5" t="s">
        <v>1149</v>
      </c>
      <c r="I5" t="s">
        <v>1177</v>
      </c>
      <c r="J5" t="s">
        <v>1181</v>
      </c>
      <c r="K5" t="s">
        <v>1182</v>
      </c>
      <c r="L5" t="s">
        <v>1370</v>
      </c>
      <c r="M5" t="s">
        <v>1658</v>
      </c>
      <c r="N5" t="s">
        <v>1657</v>
      </c>
      <c r="O5" t="s">
        <v>1659</v>
      </c>
      <c r="P5" t="s">
        <v>1716</v>
      </c>
      <c r="Q5" t="s">
        <v>1715</v>
      </c>
      <c r="R5" t="s">
        <v>1720</v>
      </c>
      <c r="S5" t="s">
        <v>1719</v>
      </c>
      <c r="T5" t="s">
        <v>1721</v>
      </c>
      <c r="U5" t="s">
        <v>1725</v>
      </c>
      <c r="V5" t="s">
        <v>1727</v>
      </c>
      <c r="W5" t="s">
        <v>1729</v>
      </c>
      <c r="X5" t="s">
        <v>1732</v>
      </c>
      <c r="Y5" t="s">
        <v>1756</v>
      </c>
      <c r="Z5" t="s">
        <v>1761</v>
      </c>
      <c r="AA5" t="s">
        <v>1918</v>
      </c>
      <c r="AB5" t="s">
        <v>1916</v>
      </c>
    </row>
    <row r="6" spans="1:36" ht="15" customHeight="1" x14ac:dyDescent="0.25">
      <c r="A6" s="6">
        <f>(1-COUNTBLANK(C6:AB6)/COLUMNS(C6:AB6))</f>
        <v>1</v>
      </c>
      <c r="B6" s="12" t="str">
        <f t="array" aca="1" ref="B6" ca="1">OFFSET(C6,,MATCH(TRUE,C6:AJ6&lt;&gt;"",0)-1)</f>
        <v xml:space="preserve"> Información general</v>
      </c>
      <c r="C6" s="13" t="s">
        <v>803</v>
      </c>
      <c r="D6" s="13" t="s">
        <v>974</v>
      </c>
      <c r="E6" s="13" t="s">
        <v>974</v>
      </c>
      <c r="F6" s="13" t="s">
        <v>974</v>
      </c>
      <c r="G6" s="13" t="s">
        <v>803</v>
      </c>
      <c r="H6" s="13" t="s">
        <v>803</v>
      </c>
      <c r="I6" s="13" t="s">
        <v>1173</v>
      </c>
      <c r="J6" s="13" t="s">
        <v>1173</v>
      </c>
      <c r="K6" s="13" t="s">
        <v>1183</v>
      </c>
      <c r="L6" s="13" t="s">
        <v>1347</v>
      </c>
      <c r="M6" s="13" t="s">
        <v>1347</v>
      </c>
      <c r="N6" s="13" t="s">
        <v>1486</v>
      </c>
      <c r="O6" s="13" t="s">
        <v>1486</v>
      </c>
      <c r="P6" s="13" t="s">
        <v>1486</v>
      </c>
      <c r="Q6" s="13" t="s">
        <v>1486</v>
      </c>
      <c r="R6" s="13" t="s">
        <v>1486</v>
      </c>
      <c r="S6" s="13" t="s">
        <v>1486</v>
      </c>
      <c r="T6" s="13" t="s">
        <v>1486</v>
      </c>
      <c r="U6" s="13" t="s">
        <v>1486</v>
      </c>
      <c r="V6" s="13" t="s">
        <v>1486</v>
      </c>
      <c r="W6" s="13" t="s">
        <v>1486</v>
      </c>
      <c r="X6" s="13" t="s">
        <v>1486</v>
      </c>
      <c r="Y6" s="13" t="s">
        <v>1739</v>
      </c>
      <c r="Z6" s="13" t="s">
        <v>1486</v>
      </c>
      <c r="AA6" s="13" t="s">
        <v>1486</v>
      </c>
      <c r="AB6" s="13" t="s">
        <v>1486</v>
      </c>
      <c r="AC6" s="1"/>
      <c r="AD6" s="1"/>
      <c r="AE6" s="1"/>
      <c r="AF6" s="1"/>
      <c r="AG6" s="1"/>
      <c r="AH6" s="1"/>
      <c r="AI6" s="1"/>
      <c r="AJ6" s="1"/>
    </row>
    <row r="7" spans="1:36" ht="18.75" x14ac:dyDescent="0.25">
      <c r="A7" s="6">
        <f t="shared" ref="A7:A70" si="2">(1-COUNTBLANK(C7:AB7)/COLUMNS(C7:AB7))</f>
        <v>1</v>
      </c>
      <c r="B7" s="7" t="str">
        <f t="array" aca="1" ref="B7" ca="1">OFFSET(C7,,MATCH(TRUE,C7:AJ7&lt;&gt;"",0)-1)</f>
        <v xml:space="preserve"> Grupo de destino</v>
      </c>
      <c r="C7" t="s">
        <v>804</v>
      </c>
      <c r="D7" t="s">
        <v>975</v>
      </c>
      <c r="E7" t="s">
        <v>975</v>
      </c>
      <c r="F7" t="s">
        <v>975</v>
      </c>
      <c r="G7" t="s">
        <v>804</v>
      </c>
      <c r="H7" t="s">
        <v>804</v>
      </c>
      <c r="I7" t="s">
        <v>804</v>
      </c>
      <c r="J7" t="s">
        <v>804</v>
      </c>
      <c r="K7" t="s">
        <v>1184</v>
      </c>
      <c r="L7" t="s">
        <v>1184</v>
      </c>
      <c r="M7" t="s">
        <v>1184</v>
      </c>
      <c r="N7" t="s">
        <v>1487</v>
      </c>
      <c r="O7" t="s">
        <v>1487</v>
      </c>
      <c r="P7" t="s">
        <v>1487</v>
      </c>
      <c r="Q7" t="s">
        <v>1487</v>
      </c>
      <c r="R7" t="s">
        <v>1487</v>
      </c>
      <c r="S7" t="s">
        <v>1487</v>
      </c>
      <c r="T7" t="s">
        <v>1487</v>
      </c>
      <c r="U7" t="s">
        <v>1487</v>
      </c>
      <c r="V7" t="s">
        <v>1487</v>
      </c>
      <c r="W7" t="s">
        <v>1487</v>
      </c>
      <c r="X7" t="s">
        <v>1487</v>
      </c>
      <c r="Y7" t="s">
        <v>1487</v>
      </c>
      <c r="Z7" t="s">
        <v>1487</v>
      </c>
      <c r="AA7" t="s">
        <v>1487</v>
      </c>
      <c r="AB7" t="s">
        <v>1487</v>
      </c>
    </row>
    <row r="8" spans="1:36" ht="18.75" x14ac:dyDescent="0.25">
      <c r="A8" s="6">
        <f t="shared" si="2"/>
        <v>0.96153846153846156</v>
      </c>
      <c r="B8" s="7" t="str">
        <f t="array" aca="1" ref="B8" ca="1">OFFSET(C8,,MATCH(TRUE,C8:AJ8&lt;&gt;"",0)-1)</f>
        <v xml:space="preserve"> Indicaciones sobre la documentación técnica</v>
      </c>
      <c r="C8" t="s">
        <v>805</v>
      </c>
      <c r="D8" t="s">
        <v>976</v>
      </c>
      <c r="E8" t="s">
        <v>976</v>
      </c>
      <c r="F8" t="s">
        <v>976</v>
      </c>
      <c r="G8" t="s">
        <v>805</v>
      </c>
      <c r="H8" t="s">
        <v>805</v>
      </c>
      <c r="I8" t="s">
        <v>805</v>
      </c>
      <c r="J8" t="s">
        <v>805</v>
      </c>
      <c r="K8" t="s">
        <v>1185</v>
      </c>
      <c r="L8" t="s">
        <v>1185</v>
      </c>
      <c r="M8" t="s">
        <v>1372</v>
      </c>
      <c r="N8" t="s">
        <v>1488</v>
      </c>
      <c r="P8" t="s">
        <v>1488</v>
      </c>
      <c r="Q8" t="s">
        <v>1488</v>
      </c>
      <c r="R8" t="s">
        <v>1488</v>
      </c>
      <c r="S8" t="s">
        <v>1488</v>
      </c>
      <c r="T8" t="s">
        <v>1488</v>
      </c>
      <c r="U8" t="s">
        <v>1488</v>
      </c>
      <c r="V8" t="s">
        <v>1488</v>
      </c>
      <c r="W8" t="s">
        <v>1488</v>
      </c>
      <c r="X8" t="s">
        <v>1488</v>
      </c>
      <c r="Y8" t="s">
        <v>1488</v>
      </c>
      <c r="Z8" t="s">
        <v>1488</v>
      </c>
      <c r="AA8" t="s">
        <v>1488</v>
      </c>
      <c r="AB8" t="s">
        <v>1488</v>
      </c>
    </row>
    <row r="9" spans="1:36" ht="18.75" x14ac:dyDescent="0.25">
      <c r="A9" s="6">
        <f t="shared" si="2"/>
        <v>1</v>
      </c>
      <c r="B9" s="7" t="str">
        <f t="array" aca="1" ref="B9" ca="1">OFFSET(C9,,MATCH(TRUE,C9:AJ9&lt;&gt;"",0)-1)</f>
        <v xml:space="preserve"> Asignación de las máquinas</v>
      </c>
      <c r="C9" t="s">
        <v>806</v>
      </c>
      <c r="D9" t="s">
        <v>806</v>
      </c>
      <c r="E9" t="s">
        <v>806</v>
      </c>
      <c r="F9" t="s">
        <v>806</v>
      </c>
      <c r="G9" t="s">
        <v>1121</v>
      </c>
      <c r="H9" t="s">
        <v>1121</v>
      </c>
      <c r="I9" t="s">
        <v>1121</v>
      </c>
      <c r="J9" t="s">
        <v>1121</v>
      </c>
      <c r="K9" t="s">
        <v>1186</v>
      </c>
      <c r="L9" t="s">
        <v>1348</v>
      </c>
      <c r="M9" t="s">
        <v>1348</v>
      </c>
      <c r="N9" t="s">
        <v>1489</v>
      </c>
      <c r="O9" t="s">
        <v>1489</v>
      </c>
      <c r="P9" t="s">
        <v>1489</v>
      </c>
      <c r="Q9" t="s">
        <v>1489</v>
      </c>
      <c r="R9" t="s">
        <v>1489</v>
      </c>
      <c r="S9" t="s">
        <v>1489</v>
      </c>
      <c r="T9" t="s">
        <v>1489</v>
      </c>
      <c r="U9" t="s">
        <v>1489</v>
      </c>
      <c r="V9" t="s">
        <v>1489</v>
      </c>
      <c r="W9" t="s">
        <v>1489</v>
      </c>
      <c r="X9" t="s">
        <v>1489</v>
      </c>
      <c r="Y9" t="s">
        <v>1489</v>
      </c>
      <c r="Z9" t="s">
        <v>1489</v>
      </c>
      <c r="AA9" t="s">
        <v>1489</v>
      </c>
      <c r="AB9" t="s">
        <v>1489</v>
      </c>
    </row>
    <row r="10" spans="1:36" ht="18.75" x14ac:dyDescent="0.25">
      <c r="A10" s="6">
        <f t="shared" si="2"/>
        <v>0.57692307692307687</v>
      </c>
      <c r="B10" s="7" t="str">
        <f t="array" aca="1" ref="B10" ca="1">OFFSET(C10,,MATCH(TRUE,C10:AJ10&lt;&gt;"",0)-1)</f>
        <v xml:space="preserve"> Componentes integrados</v>
      </c>
      <c r="C10" t="s">
        <v>807</v>
      </c>
      <c r="D10" t="s">
        <v>807</v>
      </c>
      <c r="E10" t="s">
        <v>807</v>
      </c>
      <c r="I10" t="s">
        <v>807</v>
      </c>
      <c r="J10" t="s">
        <v>807</v>
      </c>
      <c r="L10" t="s">
        <v>807</v>
      </c>
      <c r="P10" t="s">
        <v>1686</v>
      </c>
      <c r="S10" t="s">
        <v>1686</v>
      </c>
      <c r="T10" t="s">
        <v>1686</v>
      </c>
      <c r="U10" t="s">
        <v>1686</v>
      </c>
      <c r="V10" t="s">
        <v>1686</v>
      </c>
      <c r="W10" t="s">
        <v>1686</v>
      </c>
      <c r="X10" t="s">
        <v>1686</v>
      </c>
      <c r="Y10" t="s">
        <v>1686</v>
      </c>
      <c r="Z10" t="s">
        <v>1686</v>
      </c>
    </row>
    <row r="11" spans="1:36" ht="18.75" x14ac:dyDescent="0.25">
      <c r="A11" s="6">
        <f t="shared" si="2"/>
        <v>1</v>
      </c>
      <c r="B11" s="7" t="str">
        <f t="array" aca="1" ref="B11" ca="1">OFFSET(C11,,MATCH(TRUE,C11:AJ11&lt;&gt;"",0)-1)</f>
        <v xml:space="preserve"> Servicio de atención al cliente</v>
      </c>
      <c r="C11" t="s">
        <v>808</v>
      </c>
      <c r="D11" t="s">
        <v>808</v>
      </c>
      <c r="E11" t="s">
        <v>808</v>
      </c>
      <c r="F11" t="s">
        <v>808</v>
      </c>
      <c r="G11" t="s">
        <v>808</v>
      </c>
      <c r="H11" t="s">
        <v>808</v>
      </c>
      <c r="I11" t="s">
        <v>808</v>
      </c>
      <c r="J11" t="s">
        <v>808</v>
      </c>
      <c r="K11" t="s">
        <v>1187</v>
      </c>
      <c r="L11" t="s">
        <v>1187</v>
      </c>
      <c r="M11" t="s">
        <v>1187</v>
      </c>
      <c r="N11" t="s">
        <v>1490</v>
      </c>
      <c r="O11" t="s">
        <v>1490</v>
      </c>
      <c r="P11" t="s">
        <v>1490</v>
      </c>
      <c r="Q11" t="s">
        <v>1490</v>
      </c>
      <c r="R11" t="s">
        <v>1490</v>
      </c>
      <c r="S11" t="s">
        <v>1490</v>
      </c>
      <c r="T11" t="s">
        <v>1490</v>
      </c>
      <c r="U11" t="s">
        <v>1490</v>
      </c>
      <c r="V11" t="s">
        <v>1490</v>
      </c>
      <c r="W11" t="s">
        <v>1490</v>
      </c>
      <c r="X11" t="s">
        <v>1490</v>
      </c>
      <c r="Y11" t="s">
        <v>1490</v>
      </c>
      <c r="Z11" t="s">
        <v>1490</v>
      </c>
      <c r="AA11" t="s">
        <v>1490</v>
      </c>
      <c r="AB11" t="s">
        <v>1490</v>
      </c>
    </row>
    <row r="12" spans="1:36" ht="18.75" x14ac:dyDescent="0.25">
      <c r="A12" s="6">
        <f t="shared" si="2"/>
        <v>1</v>
      </c>
      <c r="B12" s="7" t="str">
        <f t="array" aca="1" ref="B12" ca="1">OFFSET(C12,,MATCH(TRUE,C12:AJ12&lt;&gt;"",0)-1)</f>
        <v xml:space="preserve"> Protección de la propiedad intelectual</v>
      </c>
      <c r="C12" t="s">
        <v>809</v>
      </c>
      <c r="D12" t="s">
        <v>809</v>
      </c>
      <c r="E12" t="s">
        <v>809</v>
      </c>
      <c r="F12" t="s">
        <v>809</v>
      </c>
      <c r="G12" t="s">
        <v>809</v>
      </c>
      <c r="H12" t="s">
        <v>809</v>
      </c>
      <c r="I12" t="s">
        <v>809</v>
      </c>
      <c r="J12" t="s">
        <v>809</v>
      </c>
      <c r="K12" t="s">
        <v>1188</v>
      </c>
      <c r="L12" t="s">
        <v>1188</v>
      </c>
      <c r="M12" t="s">
        <v>1188</v>
      </c>
      <c r="N12" t="s">
        <v>1491</v>
      </c>
      <c r="O12" t="s">
        <v>1491</v>
      </c>
      <c r="P12" t="s">
        <v>1491</v>
      </c>
      <c r="Q12" t="s">
        <v>1491</v>
      </c>
      <c r="R12" t="s">
        <v>1491</v>
      </c>
      <c r="S12" t="s">
        <v>1491</v>
      </c>
      <c r="T12" t="s">
        <v>1491</v>
      </c>
      <c r="U12" t="s">
        <v>1491</v>
      </c>
      <c r="V12" t="s">
        <v>1491</v>
      </c>
      <c r="W12" t="s">
        <v>1491</v>
      </c>
      <c r="X12" t="s">
        <v>1491</v>
      </c>
      <c r="Y12" t="s">
        <v>1491</v>
      </c>
      <c r="Z12" t="s">
        <v>1491</v>
      </c>
      <c r="AA12" t="s">
        <v>1491</v>
      </c>
      <c r="AB12" t="s">
        <v>1491</v>
      </c>
    </row>
    <row r="13" spans="1:36" ht="18.75" x14ac:dyDescent="0.25">
      <c r="A13" s="6">
        <f t="shared" si="2"/>
        <v>1</v>
      </c>
      <c r="B13" s="7" t="str">
        <f t="array" aca="1" ref="B13" ca="1">OFFSET(C13,,MATCH(TRUE,C13:AJ13&lt;&gt;"",0)-1)</f>
        <v xml:space="preserve"> Indicaciones para la lectura </v>
      </c>
      <c r="C13" t="s">
        <v>810</v>
      </c>
      <c r="D13" t="s">
        <v>810</v>
      </c>
      <c r="E13" t="s">
        <v>810</v>
      </c>
      <c r="F13" t="s">
        <v>810</v>
      </c>
      <c r="G13" t="s">
        <v>810</v>
      </c>
      <c r="H13" t="s">
        <v>810</v>
      </c>
      <c r="I13" t="s">
        <v>810</v>
      </c>
      <c r="J13" t="s">
        <v>810</v>
      </c>
      <c r="K13" t="s">
        <v>1189</v>
      </c>
      <c r="L13" t="s">
        <v>1189</v>
      </c>
      <c r="M13" t="s">
        <v>1373</v>
      </c>
      <c r="N13" t="s">
        <v>1492</v>
      </c>
      <c r="O13" t="s">
        <v>1492</v>
      </c>
      <c r="P13" t="s">
        <v>1492</v>
      </c>
      <c r="Q13" t="s">
        <v>1492</v>
      </c>
      <c r="R13" t="s">
        <v>1492</v>
      </c>
      <c r="S13" t="s">
        <v>1492</v>
      </c>
      <c r="T13" t="s">
        <v>1492</v>
      </c>
      <c r="U13" t="s">
        <v>1492</v>
      </c>
      <c r="V13" t="s">
        <v>1492</v>
      </c>
      <c r="W13" t="s">
        <v>1492</v>
      </c>
      <c r="X13" t="s">
        <v>1492</v>
      </c>
      <c r="Y13" t="s">
        <v>1740</v>
      </c>
      <c r="Z13" t="s">
        <v>1492</v>
      </c>
      <c r="AA13" t="s">
        <v>1492</v>
      </c>
      <c r="AB13" t="s">
        <v>1492</v>
      </c>
    </row>
    <row r="14" spans="1:36" s="1" customFormat="1" ht="18.75" x14ac:dyDescent="0.25">
      <c r="A14" s="6">
        <f t="shared" si="2"/>
        <v>1</v>
      </c>
      <c r="B14" s="12" t="str">
        <f t="array" aca="1" ref="B14" ca="1">OFFSET(C14,,MATCH(TRUE,C14:AJ14&lt;&gt;"",0)-1)</f>
        <v xml:space="preserve"> Seguridad</v>
      </c>
      <c r="C14" s="13" t="s">
        <v>811</v>
      </c>
      <c r="D14" s="13" t="s">
        <v>811</v>
      </c>
      <c r="E14" s="13" t="s">
        <v>811</v>
      </c>
      <c r="F14" s="13" t="s">
        <v>811</v>
      </c>
      <c r="G14" s="13" t="s">
        <v>811</v>
      </c>
      <c r="H14" s="13" t="s">
        <v>811</v>
      </c>
      <c r="I14" s="13" t="s">
        <v>811</v>
      </c>
      <c r="J14" s="13" t="s">
        <v>811</v>
      </c>
      <c r="K14" s="13" t="s">
        <v>1190</v>
      </c>
      <c r="L14" s="13" t="s">
        <v>1190</v>
      </c>
      <c r="M14" s="13" t="s">
        <v>1190</v>
      </c>
      <c r="N14" s="13" t="s">
        <v>1493</v>
      </c>
      <c r="O14" s="13" t="s">
        <v>1663</v>
      </c>
      <c r="P14" s="13" t="s">
        <v>1663</v>
      </c>
      <c r="Q14" s="13" t="s">
        <v>1663</v>
      </c>
      <c r="R14" s="13" t="s">
        <v>1663</v>
      </c>
      <c r="S14" s="13" t="s">
        <v>1663</v>
      </c>
      <c r="T14" s="13" t="s">
        <v>1663</v>
      </c>
      <c r="U14" s="13" t="s">
        <v>1663</v>
      </c>
      <c r="V14" s="13" t="s">
        <v>1663</v>
      </c>
      <c r="W14" s="13" t="s">
        <v>1663</v>
      </c>
      <c r="X14" s="13" t="s">
        <v>1663</v>
      </c>
      <c r="Y14" s="13" t="s">
        <v>1663</v>
      </c>
      <c r="Z14" s="13" t="s">
        <v>1663</v>
      </c>
      <c r="AA14" s="13" t="s">
        <v>1663</v>
      </c>
      <c r="AB14" s="13" t="s">
        <v>1663</v>
      </c>
    </row>
    <row r="15" spans="1:36" ht="18.75" x14ac:dyDescent="0.25">
      <c r="A15" s="6">
        <f t="shared" si="2"/>
        <v>1</v>
      </c>
      <c r="B15" s="7" t="str">
        <f t="array" aca="1" ref="B15" ca="1">OFFSET(C15,,MATCH(TRUE,C15:AJ15&lt;&gt;"",0)-1)</f>
        <v xml:space="preserve"> Función de las indicaciones de seguridad</v>
      </c>
      <c r="C15" t="s">
        <v>812</v>
      </c>
      <c r="D15" t="s">
        <v>812</v>
      </c>
      <c r="E15" t="s">
        <v>812</v>
      </c>
      <c r="F15" s="1" t="s">
        <v>812</v>
      </c>
      <c r="G15" s="1" t="s">
        <v>812</v>
      </c>
      <c r="H15" s="1" t="s">
        <v>812</v>
      </c>
      <c r="I15" t="s">
        <v>812</v>
      </c>
      <c r="J15" t="s">
        <v>812</v>
      </c>
      <c r="K15" s="1" t="s">
        <v>1191</v>
      </c>
      <c r="L15" t="s">
        <v>1191</v>
      </c>
      <c r="M15" s="1" t="s">
        <v>1374</v>
      </c>
      <c r="N15" s="1" t="s">
        <v>1494</v>
      </c>
      <c r="O15" t="s">
        <v>1494</v>
      </c>
      <c r="P15" t="s">
        <v>1494</v>
      </c>
      <c r="Q15" s="1" t="s">
        <v>1494</v>
      </c>
      <c r="R15" s="1" t="s">
        <v>1494</v>
      </c>
      <c r="S15" t="s">
        <v>1494</v>
      </c>
      <c r="T15" t="s">
        <v>1494</v>
      </c>
      <c r="U15" t="s">
        <v>1494</v>
      </c>
      <c r="V15" t="s">
        <v>1494</v>
      </c>
      <c r="W15" t="s">
        <v>1494</v>
      </c>
      <c r="X15" t="s">
        <v>1494</v>
      </c>
      <c r="Y15" t="s">
        <v>1494</v>
      </c>
      <c r="Z15" t="s">
        <v>1494</v>
      </c>
      <c r="AA15" t="s">
        <v>1494</v>
      </c>
      <c r="AB15" s="1" t="s">
        <v>1494</v>
      </c>
    </row>
    <row r="16" spans="1:36" ht="18.75" x14ac:dyDescent="0.25">
      <c r="A16" s="6">
        <f t="shared" si="2"/>
        <v>1</v>
      </c>
      <c r="B16" s="7" t="str">
        <f t="array" aca="1" ref="B16" ca="1">OFFSET(C16,,MATCH(TRUE,C16:AJ16&lt;&gt;"",0)-1)</f>
        <v xml:space="preserve"> Utilización conforme al uso previsto</v>
      </c>
      <c r="C16" t="s">
        <v>813</v>
      </c>
      <c r="D16" t="s">
        <v>977</v>
      </c>
      <c r="E16" t="s">
        <v>977</v>
      </c>
      <c r="F16" t="s">
        <v>977</v>
      </c>
      <c r="G16" t="s">
        <v>813</v>
      </c>
      <c r="H16" t="s">
        <v>813</v>
      </c>
      <c r="I16" t="s">
        <v>813</v>
      </c>
      <c r="J16" t="s">
        <v>813</v>
      </c>
      <c r="K16" t="s">
        <v>1192</v>
      </c>
      <c r="L16" t="s">
        <v>1192</v>
      </c>
      <c r="M16" t="s">
        <v>1192</v>
      </c>
      <c r="N16" t="s">
        <v>1495</v>
      </c>
      <c r="O16" s="1" t="s">
        <v>1495</v>
      </c>
      <c r="P16" t="s">
        <v>1495</v>
      </c>
      <c r="Q16" t="s">
        <v>1495</v>
      </c>
      <c r="R16" t="s">
        <v>1495</v>
      </c>
      <c r="S16" t="s">
        <v>1495</v>
      </c>
      <c r="T16" t="s">
        <v>1495</v>
      </c>
      <c r="U16" t="s">
        <v>1495</v>
      </c>
      <c r="V16" t="s">
        <v>1495</v>
      </c>
      <c r="W16" t="s">
        <v>1495</v>
      </c>
      <c r="X16" t="s">
        <v>1495</v>
      </c>
      <c r="Y16" t="s">
        <v>1495</v>
      </c>
      <c r="Z16" t="s">
        <v>1495</v>
      </c>
      <c r="AA16" t="s">
        <v>1495</v>
      </c>
      <c r="AB16" t="s">
        <v>1495</v>
      </c>
    </row>
    <row r="17" spans="1:28" ht="18.75" x14ac:dyDescent="0.25">
      <c r="A17" s="6">
        <f t="shared" si="2"/>
        <v>3.8461538461538436E-2</v>
      </c>
      <c r="B17" s="7" t="str">
        <f t="array" aca="1" ref="B17" ca="1">OFFSET(C17,,MATCH(TRUE,C17:AJ17&lt;&gt;"",0)-1)</f>
        <v xml:space="preserve"> Production with flammable liquids</v>
      </c>
      <c r="P17" t="s">
        <v>1687</v>
      </c>
    </row>
    <row r="18" spans="1:28" ht="18.75" x14ac:dyDescent="0.25">
      <c r="A18" s="6">
        <f t="shared" si="2"/>
        <v>1</v>
      </c>
      <c r="B18" s="7" t="str">
        <f t="array" aca="1" ref="B18" ca="1">OFFSET(C18,,MATCH(TRUE,C18:AJ18&lt;&gt;"",0)-1)</f>
        <v xml:space="preserve"> Mal uso razonablemente previsible</v>
      </c>
      <c r="C18" t="s">
        <v>814</v>
      </c>
      <c r="D18" t="s">
        <v>978</v>
      </c>
      <c r="E18" t="s">
        <v>978</v>
      </c>
      <c r="F18" t="s">
        <v>978</v>
      </c>
      <c r="G18" t="s">
        <v>814</v>
      </c>
      <c r="H18" t="s">
        <v>1150</v>
      </c>
      <c r="I18" t="s">
        <v>1150</v>
      </c>
      <c r="J18" t="s">
        <v>1150</v>
      </c>
      <c r="K18" t="s">
        <v>1193</v>
      </c>
      <c r="L18" t="s">
        <v>1193</v>
      </c>
      <c r="M18" t="s">
        <v>1375</v>
      </c>
      <c r="N18" t="s">
        <v>1496</v>
      </c>
      <c r="O18" t="s">
        <v>1496</v>
      </c>
      <c r="P18" t="s">
        <v>1496</v>
      </c>
      <c r="Q18" t="s">
        <v>1496</v>
      </c>
      <c r="R18" t="s">
        <v>1496</v>
      </c>
      <c r="S18" t="s">
        <v>1496</v>
      </c>
      <c r="T18" t="s">
        <v>1496</v>
      </c>
      <c r="U18" t="s">
        <v>1496</v>
      </c>
      <c r="V18" t="s">
        <v>1496</v>
      </c>
      <c r="W18" t="s">
        <v>1496</v>
      </c>
      <c r="X18" t="s">
        <v>1496</v>
      </c>
      <c r="Y18" t="s">
        <v>1496</v>
      </c>
      <c r="Z18" t="s">
        <v>1496</v>
      </c>
      <c r="AA18" t="s">
        <v>1496</v>
      </c>
      <c r="AB18" t="s">
        <v>1496</v>
      </c>
    </row>
    <row r="19" spans="1:28" ht="18.75" x14ac:dyDescent="0.25">
      <c r="A19" s="6">
        <f t="shared" si="2"/>
        <v>1</v>
      </c>
      <c r="B19" s="7" t="str">
        <f t="array" aca="1" ref="B19" ca="1">OFFSET(C19,,MATCH(TRUE,C19:AJ19&lt;&gt;"",0)-1)</f>
        <v xml:space="preserve"> Obligaciones del explotador</v>
      </c>
      <c r="C19" t="s">
        <v>815</v>
      </c>
      <c r="D19" t="s">
        <v>979</v>
      </c>
      <c r="E19" t="s">
        <v>979</v>
      </c>
      <c r="F19" t="s">
        <v>979</v>
      </c>
      <c r="G19" t="s">
        <v>815</v>
      </c>
      <c r="H19" t="s">
        <v>815</v>
      </c>
      <c r="I19" t="s">
        <v>815</v>
      </c>
      <c r="J19" t="s">
        <v>815</v>
      </c>
      <c r="K19" t="s">
        <v>1194</v>
      </c>
      <c r="L19" t="s">
        <v>1194</v>
      </c>
      <c r="M19" t="s">
        <v>1194</v>
      </c>
      <c r="N19" t="s">
        <v>1497</v>
      </c>
      <c r="O19" t="s">
        <v>1497</v>
      </c>
      <c r="P19" t="s">
        <v>1497</v>
      </c>
      <c r="Q19" t="s">
        <v>1497</v>
      </c>
      <c r="R19" t="s">
        <v>1497</v>
      </c>
      <c r="S19" t="s">
        <v>1497</v>
      </c>
      <c r="T19" t="s">
        <v>1497</v>
      </c>
      <c r="U19" t="s">
        <v>1497</v>
      </c>
      <c r="V19" t="s">
        <v>1497</v>
      </c>
      <c r="W19" t="s">
        <v>1497</v>
      </c>
      <c r="X19" t="s">
        <v>1497</v>
      </c>
      <c r="Y19" t="s">
        <v>1497</v>
      </c>
      <c r="Z19" t="s">
        <v>1497</v>
      </c>
      <c r="AA19" t="s">
        <v>1497</v>
      </c>
      <c r="AB19" t="s">
        <v>1497</v>
      </c>
    </row>
    <row r="20" spans="1:28" ht="18.75" x14ac:dyDescent="0.25">
      <c r="A20" s="6">
        <f t="shared" si="2"/>
        <v>1</v>
      </c>
      <c r="B20" s="7" t="str">
        <f t="array" aca="1" ref="B20" ca="1">OFFSET(C20,,MATCH(TRUE,C20:AJ20&lt;&gt;"",0)-1)</f>
        <v xml:space="preserve"> Requerimientos respecto del personal</v>
      </c>
      <c r="C20" t="s">
        <v>816</v>
      </c>
      <c r="D20" t="s">
        <v>980</v>
      </c>
      <c r="E20" t="s">
        <v>980</v>
      </c>
      <c r="F20" t="s">
        <v>980</v>
      </c>
      <c r="G20" t="s">
        <v>816</v>
      </c>
      <c r="H20" t="s">
        <v>816</v>
      </c>
      <c r="I20" t="s">
        <v>816</v>
      </c>
      <c r="J20" t="s">
        <v>816</v>
      </c>
      <c r="K20" t="s">
        <v>1195</v>
      </c>
      <c r="L20" t="s">
        <v>1195</v>
      </c>
      <c r="M20" t="s">
        <v>1376</v>
      </c>
      <c r="N20" t="s">
        <v>1498</v>
      </c>
      <c r="O20" t="s">
        <v>1498</v>
      </c>
      <c r="P20" t="s">
        <v>1498</v>
      </c>
      <c r="Q20" t="s">
        <v>1498</v>
      </c>
      <c r="R20" t="s">
        <v>1498</v>
      </c>
      <c r="S20" t="s">
        <v>1498</v>
      </c>
      <c r="T20" t="s">
        <v>1498</v>
      </c>
      <c r="U20" t="s">
        <v>1498</v>
      </c>
      <c r="V20" t="s">
        <v>1498</v>
      </c>
      <c r="W20" t="s">
        <v>1498</v>
      </c>
      <c r="X20" t="s">
        <v>1498</v>
      </c>
      <c r="Y20" t="s">
        <v>1498</v>
      </c>
      <c r="Z20" t="s">
        <v>1498</v>
      </c>
      <c r="AA20" t="s">
        <v>1498</v>
      </c>
      <c r="AB20" t="s">
        <v>1498</v>
      </c>
    </row>
    <row r="21" spans="1:28" ht="18.75" x14ac:dyDescent="0.25">
      <c r="A21" s="6">
        <f t="shared" si="2"/>
        <v>1</v>
      </c>
      <c r="B21" s="7" t="str">
        <f t="array" aca="1" ref="B21" ca="1">OFFSET(C21,,MATCH(TRUE,C21:AJ21&lt;&gt;"",0)-1)</f>
        <v xml:space="preserve"> Equipamiento de protección</v>
      </c>
      <c r="C21" t="s">
        <v>817</v>
      </c>
      <c r="D21" t="s">
        <v>981</v>
      </c>
      <c r="E21" t="s">
        <v>981</v>
      </c>
      <c r="F21" t="s">
        <v>981</v>
      </c>
      <c r="G21" t="s">
        <v>817</v>
      </c>
      <c r="H21" t="s">
        <v>817</v>
      </c>
      <c r="I21" t="s">
        <v>817</v>
      </c>
      <c r="J21" t="s">
        <v>817</v>
      </c>
      <c r="K21" t="s">
        <v>1196</v>
      </c>
      <c r="L21" t="s">
        <v>1196</v>
      </c>
      <c r="M21" t="s">
        <v>1196</v>
      </c>
      <c r="N21" t="s">
        <v>1499</v>
      </c>
      <c r="O21" t="s">
        <v>1499</v>
      </c>
      <c r="P21" t="s">
        <v>1499</v>
      </c>
      <c r="Q21" t="s">
        <v>1499</v>
      </c>
      <c r="R21" t="s">
        <v>1499</v>
      </c>
      <c r="S21" t="s">
        <v>1499</v>
      </c>
      <c r="T21" t="s">
        <v>1499</v>
      </c>
      <c r="U21" t="s">
        <v>1499</v>
      </c>
      <c r="V21" t="s">
        <v>1499</v>
      </c>
      <c r="W21" t="s">
        <v>1499</v>
      </c>
      <c r="X21" t="s">
        <v>1499</v>
      </c>
      <c r="Y21" t="s">
        <v>1499</v>
      </c>
      <c r="Z21" t="s">
        <v>1499</v>
      </c>
      <c r="AA21" t="s">
        <v>1499</v>
      </c>
      <c r="AB21" t="s">
        <v>1499</v>
      </c>
    </row>
    <row r="22" spans="1:28" ht="18.75" x14ac:dyDescent="0.25">
      <c r="A22" s="6">
        <f t="shared" si="2"/>
        <v>1</v>
      </c>
      <c r="B22" s="7" t="str">
        <f t="array" aca="1" ref="B22" ca="1">OFFSET(C22,,MATCH(TRUE,C22:AJ22&lt;&gt;"",0)-1)</f>
        <v xml:space="preserve"> Áreas de peligro y su señalización</v>
      </c>
      <c r="C22" t="s">
        <v>818</v>
      </c>
      <c r="D22" t="s">
        <v>982</v>
      </c>
      <c r="E22" t="s">
        <v>982</v>
      </c>
      <c r="F22" t="s">
        <v>982</v>
      </c>
      <c r="G22" t="s">
        <v>818</v>
      </c>
      <c r="H22" t="s">
        <v>1151</v>
      </c>
      <c r="I22" t="s">
        <v>1151</v>
      </c>
      <c r="J22" t="s">
        <v>1151</v>
      </c>
      <c r="K22" t="s">
        <v>1197</v>
      </c>
      <c r="L22" t="s">
        <v>1197</v>
      </c>
      <c r="M22" t="s">
        <v>1377</v>
      </c>
      <c r="N22" t="s">
        <v>1500</v>
      </c>
      <c r="O22" t="s">
        <v>1500</v>
      </c>
      <c r="P22" t="s">
        <v>1500</v>
      </c>
      <c r="Q22" t="s">
        <v>1500</v>
      </c>
      <c r="R22" t="s">
        <v>1500</v>
      </c>
      <c r="S22" t="s">
        <v>1500</v>
      </c>
      <c r="T22" t="s">
        <v>1500</v>
      </c>
      <c r="U22" t="s">
        <v>1500</v>
      </c>
      <c r="V22" t="s">
        <v>1500</v>
      </c>
      <c r="W22" t="s">
        <v>1500</v>
      </c>
      <c r="X22" t="s">
        <v>1500</v>
      </c>
      <c r="Y22" t="s">
        <v>1500</v>
      </c>
      <c r="Z22" t="s">
        <v>1500</v>
      </c>
      <c r="AA22" t="s">
        <v>1500</v>
      </c>
      <c r="AB22" t="s">
        <v>1500</v>
      </c>
    </row>
    <row r="23" spans="1:28" ht="18.75" x14ac:dyDescent="0.25">
      <c r="A23" s="6">
        <f t="shared" si="2"/>
        <v>1</v>
      </c>
      <c r="B23" s="7" t="str">
        <f t="array" aca="1" ref="B23" ca="1">OFFSET(C23,,MATCH(TRUE,C23:AJ23&lt;&gt;"",0)-1)</f>
        <v xml:space="preserve"> Símbolos de prohibición</v>
      </c>
      <c r="C23" t="s">
        <v>819</v>
      </c>
      <c r="D23" t="s">
        <v>983</v>
      </c>
      <c r="E23" t="s">
        <v>983</v>
      </c>
      <c r="F23" t="s">
        <v>983</v>
      </c>
      <c r="G23" t="s">
        <v>819</v>
      </c>
      <c r="H23" t="s">
        <v>819</v>
      </c>
      <c r="I23" t="s">
        <v>819</v>
      </c>
      <c r="J23" t="s">
        <v>819</v>
      </c>
      <c r="K23" t="s">
        <v>1198</v>
      </c>
      <c r="L23" t="s">
        <v>1198</v>
      </c>
      <c r="M23" t="s">
        <v>1198</v>
      </c>
      <c r="N23" t="s">
        <v>1501</v>
      </c>
      <c r="O23" t="s">
        <v>1501</v>
      </c>
      <c r="P23" t="s">
        <v>1501</v>
      </c>
      <c r="Q23" t="s">
        <v>1501</v>
      </c>
      <c r="R23" t="s">
        <v>1501</v>
      </c>
      <c r="S23" t="s">
        <v>1501</v>
      </c>
      <c r="T23" t="s">
        <v>1501</v>
      </c>
      <c r="U23" t="s">
        <v>1501</v>
      </c>
      <c r="V23" t="s">
        <v>1501</v>
      </c>
      <c r="W23" t="s">
        <v>1501</v>
      </c>
      <c r="X23" t="s">
        <v>1501</v>
      </c>
      <c r="Y23" t="s">
        <v>1501</v>
      </c>
      <c r="Z23" t="s">
        <v>1501</v>
      </c>
      <c r="AA23" t="s">
        <v>1501</v>
      </c>
      <c r="AB23" t="s">
        <v>1501</v>
      </c>
    </row>
    <row r="24" spans="1:28" ht="18.75" x14ac:dyDescent="0.25">
      <c r="A24" s="6">
        <f t="shared" si="2"/>
        <v>1</v>
      </c>
      <c r="B24" s="7" t="str">
        <f t="array" aca="1" ref="B24" ca="1">OFFSET(C24,,MATCH(TRUE,C24:AJ24&lt;&gt;"",0)-1)</f>
        <v xml:space="preserve"> Símbolos de advertencia</v>
      </c>
      <c r="C24" t="s">
        <v>820</v>
      </c>
      <c r="D24" t="s">
        <v>984</v>
      </c>
      <c r="E24" t="s">
        <v>984</v>
      </c>
      <c r="F24" t="s">
        <v>984</v>
      </c>
      <c r="G24" t="s">
        <v>820</v>
      </c>
      <c r="H24" t="s">
        <v>820</v>
      </c>
      <c r="I24" t="s">
        <v>820</v>
      </c>
      <c r="J24" t="s">
        <v>820</v>
      </c>
      <c r="K24" t="s">
        <v>1199</v>
      </c>
      <c r="L24" t="s">
        <v>1199</v>
      </c>
      <c r="M24" t="s">
        <v>1199</v>
      </c>
      <c r="N24" t="s">
        <v>1502</v>
      </c>
      <c r="O24" t="s">
        <v>1502</v>
      </c>
      <c r="P24" t="s">
        <v>1502</v>
      </c>
      <c r="Q24" t="s">
        <v>1502</v>
      </c>
      <c r="R24" t="s">
        <v>1502</v>
      </c>
      <c r="S24" t="s">
        <v>1502</v>
      </c>
      <c r="T24" t="s">
        <v>1502</v>
      </c>
      <c r="U24" t="s">
        <v>1502</v>
      </c>
      <c r="V24" t="s">
        <v>1502</v>
      </c>
      <c r="W24" t="s">
        <v>1502</v>
      </c>
      <c r="X24" t="s">
        <v>1502</v>
      </c>
      <c r="Y24" t="s">
        <v>1502</v>
      </c>
      <c r="Z24" t="s">
        <v>1502</v>
      </c>
      <c r="AA24" t="s">
        <v>1502</v>
      </c>
      <c r="AB24" t="s">
        <v>1502</v>
      </c>
    </row>
    <row r="25" spans="1:28" ht="18.75" x14ac:dyDescent="0.25">
      <c r="A25" s="6">
        <f t="shared" si="2"/>
        <v>1</v>
      </c>
      <c r="B25" s="7" t="str">
        <f t="array" aca="1" ref="B25" ca="1">OFFSET(C25,,MATCH(TRUE,C25:AJ25&lt;&gt;"",0)-1)</f>
        <v xml:space="preserve"> Símbolos de obligación</v>
      </c>
      <c r="C25" t="s">
        <v>821</v>
      </c>
      <c r="D25" t="s">
        <v>985</v>
      </c>
      <c r="E25" t="s">
        <v>985</v>
      </c>
      <c r="F25" t="s">
        <v>985</v>
      </c>
      <c r="G25" t="s">
        <v>821</v>
      </c>
      <c r="H25" t="s">
        <v>821</v>
      </c>
      <c r="I25" t="s">
        <v>821</v>
      </c>
      <c r="J25" t="s">
        <v>821</v>
      </c>
      <c r="K25" t="s">
        <v>1200</v>
      </c>
      <c r="L25" t="s">
        <v>1200</v>
      </c>
      <c r="M25" t="s">
        <v>1200</v>
      </c>
      <c r="N25" t="s">
        <v>1503</v>
      </c>
      <c r="O25" t="s">
        <v>1503</v>
      </c>
      <c r="P25" t="s">
        <v>1503</v>
      </c>
      <c r="Q25" t="s">
        <v>1503</v>
      </c>
      <c r="R25" t="s">
        <v>1503</v>
      </c>
      <c r="S25" t="s">
        <v>1503</v>
      </c>
      <c r="T25" t="s">
        <v>1503</v>
      </c>
      <c r="U25" t="s">
        <v>1503</v>
      </c>
      <c r="V25" t="s">
        <v>1726</v>
      </c>
      <c r="W25" t="s">
        <v>1726</v>
      </c>
      <c r="X25" t="s">
        <v>1726</v>
      </c>
      <c r="Y25" t="s">
        <v>1503</v>
      </c>
      <c r="Z25" t="s">
        <v>1726</v>
      </c>
      <c r="AA25" t="s">
        <v>1726</v>
      </c>
      <c r="AB25" t="s">
        <v>1726</v>
      </c>
    </row>
    <row r="26" spans="1:28" ht="18.75" x14ac:dyDescent="0.25">
      <c r="A26" s="6">
        <f t="shared" si="2"/>
        <v>0.96153846153846156</v>
      </c>
      <c r="B26" s="7" t="str">
        <f t="array" aca="1" ref="B26" ca="1">OFFSET(C26,,MATCH(TRUE,C26:AJ26&lt;&gt;"",0)-1)</f>
        <v xml:space="preserve"> Lugar de colocación de las identificaciones</v>
      </c>
      <c r="C26" t="s">
        <v>822</v>
      </c>
      <c r="D26" t="s">
        <v>986</v>
      </c>
      <c r="E26" t="s">
        <v>986</v>
      </c>
      <c r="F26" t="s">
        <v>986</v>
      </c>
      <c r="G26" t="s">
        <v>822</v>
      </c>
      <c r="H26" t="s">
        <v>822</v>
      </c>
      <c r="I26" t="s">
        <v>822</v>
      </c>
      <c r="J26" t="s">
        <v>822</v>
      </c>
      <c r="K26" t="s">
        <v>1201</v>
      </c>
      <c r="L26" t="s">
        <v>1201</v>
      </c>
      <c r="M26" t="s">
        <v>1378</v>
      </c>
      <c r="N26" t="s">
        <v>1504</v>
      </c>
      <c r="O26" t="s">
        <v>1504</v>
      </c>
      <c r="P26" t="s">
        <v>1504</v>
      </c>
      <c r="Q26" t="s">
        <v>1504</v>
      </c>
      <c r="R26" t="s">
        <v>1504</v>
      </c>
      <c r="S26" t="s">
        <v>1504</v>
      </c>
      <c r="T26" t="s">
        <v>1504</v>
      </c>
      <c r="U26" t="s">
        <v>1504</v>
      </c>
      <c r="V26" t="s">
        <v>1504</v>
      </c>
      <c r="W26" t="s">
        <v>1504</v>
      </c>
      <c r="X26" t="s">
        <v>1504</v>
      </c>
      <c r="Y26" t="s">
        <v>1741</v>
      </c>
      <c r="Z26" t="s">
        <v>1504</v>
      </c>
      <c r="AB26" t="s">
        <v>1504</v>
      </c>
    </row>
    <row r="27" spans="1:28" ht="18.75" x14ac:dyDescent="0.25">
      <c r="A27" s="6">
        <f t="shared" si="2"/>
        <v>1</v>
      </c>
      <c r="B27" s="7" t="str">
        <f t="array" aca="1" ref="B27" ca="1">OFFSET(C27,,MATCH(TRUE,C27:AJ27&lt;&gt;"",0)-1)</f>
        <v xml:space="preserve"> Dispositivos de protección</v>
      </c>
      <c r="C27" t="s">
        <v>823</v>
      </c>
      <c r="D27" t="s">
        <v>823</v>
      </c>
      <c r="E27" t="s">
        <v>823</v>
      </c>
      <c r="F27" t="s">
        <v>823</v>
      </c>
      <c r="G27" t="s">
        <v>823</v>
      </c>
      <c r="H27" t="s">
        <v>823</v>
      </c>
      <c r="I27" t="s">
        <v>823</v>
      </c>
      <c r="J27" t="s">
        <v>823</v>
      </c>
      <c r="K27" t="s">
        <v>1202</v>
      </c>
      <c r="L27" t="s">
        <v>1202</v>
      </c>
      <c r="M27" t="s">
        <v>1202</v>
      </c>
      <c r="N27" t="s">
        <v>1505</v>
      </c>
      <c r="O27" t="s">
        <v>1505</v>
      </c>
      <c r="P27" t="s">
        <v>1505</v>
      </c>
      <c r="Q27" t="s">
        <v>1505</v>
      </c>
      <c r="R27" t="s">
        <v>1505</v>
      </c>
      <c r="S27" t="s">
        <v>1505</v>
      </c>
      <c r="T27" t="s">
        <v>1505</v>
      </c>
      <c r="U27" t="s">
        <v>1505</v>
      </c>
      <c r="V27" t="s">
        <v>1505</v>
      </c>
      <c r="W27" t="s">
        <v>1505</v>
      </c>
      <c r="X27" t="s">
        <v>1505</v>
      </c>
      <c r="Y27" t="s">
        <v>1505</v>
      </c>
      <c r="Z27" t="s">
        <v>1505</v>
      </c>
      <c r="AA27" t="s">
        <v>1505</v>
      </c>
      <c r="AB27" t="s">
        <v>1505</v>
      </c>
    </row>
    <row r="28" spans="1:28" ht="18.75" x14ac:dyDescent="0.25">
      <c r="A28" s="6">
        <f t="shared" si="2"/>
        <v>1</v>
      </c>
      <c r="B28" s="7" t="str">
        <f t="array" aca="1" ref="B28" ca="1">OFFSET(C28,,MATCH(TRUE,C28:AJ28&lt;&gt;"",0)-1)</f>
        <v xml:space="preserve"> Revestimiento de la máquina</v>
      </c>
      <c r="C28" t="s">
        <v>824</v>
      </c>
      <c r="D28" t="s">
        <v>824</v>
      </c>
      <c r="E28" t="s">
        <v>824</v>
      </c>
      <c r="F28" t="s">
        <v>824</v>
      </c>
      <c r="G28" t="s">
        <v>824</v>
      </c>
      <c r="H28" t="s">
        <v>1152</v>
      </c>
      <c r="I28" t="s">
        <v>1152</v>
      </c>
      <c r="J28" t="s">
        <v>1152</v>
      </c>
      <c r="K28" t="s">
        <v>1203</v>
      </c>
      <c r="L28" t="s">
        <v>1203</v>
      </c>
      <c r="M28" t="s">
        <v>1203</v>
      </c>
      <c r="N28" t="s">
        <v>1506</v>
      </c>
      <c r="O28" t="s">
        <v>1506</v>
      </c>
      <c r="P28" t="s">
        <v>1506</v>
      </c>
      <c r="Q28" t="s">
        <v>1506</v>
      </c>
      <c r="R28" t="s">
        <v>1506</v>
      </c>
      <c r="S28" t="s">
        <v>1506</v>
      </c>
      <c r="T28" t="s">
        <v>1506</v>
      </c>
      <c r="U28" t="s">
        <v>1506</v>
      </c>
      <c r="V28" t="s">
        <v>1506</v>
      </c>
      <c r="W28" t="s">
        <v>1506</v>
      </c>
      <c r="X28" t="s">
        <v>1506</v>
      </c>
      <c r="Y28" t="s">
        <v>1506</v>
      </c>
      <c r="Z28" t="s">
        <v>1506</v>
      </c>
      <c r="AA28" t="s">
        <v>1506</v>
      </c>
      <c r="AB28" t="s">
        <v>1506</v>
      </c>
    </row>
    <row r="29" spans="1:28" ht="18.75" x14ac:dyDescent="0.25">
      <c r="A29" s="6">
        <f t="shared" si="2"/>
        <v>1</v>
      </c>
      <c r="B29" s="7" t="str">
        <f t="array" aca="1" ref="B29" ca="1">OFFSET(C29,,MATCH(TRUE,C29:AJ29&lt;&gt;"",0)-1)</f>
        <v xml:space="preserve"> Interruptor de puerta con mecanismo de bloqueo</v>
      </c>
      <c r="C29" t="s">
        <v>825</v>
      </c>
      <c r="D29" t="s">
        <v>987</v>
      </c>
      <c r="E29" t="s">
        <v>987</v>
      </c>
      <c r="F29" t="s">
        <v>987</v>
      </c>
      <c r="G29" t="s">
        <v>825</v>
      </c>
      <c r="H29" t="s">
        <v>1153</v>
      </c>
      <c r="I29" t="s">
        <v>1153</v>
      </c>
      <c r="J29" t="s">
        <v>1153</v>
      </c>
      <c r="K29" t="s">
        <v>1204</v>
      </c>
      <c r="L29" t="s">
        <v>1204</v>
      </c>
      <c r="M29" t="s">
        <v>1379</v>
      </c>
      <c r="N29" t="s">
        <v>1507</v>
      </c>
      <c r="O29" t="s">
        <v>1507</v>
      </c>
      <c r="P29" t="s">
        <v>1507</v>
      </c>
      <c r="Q29" t="s">
        <v>1507</v>
      </c>
      <c r="R29" t="s">
        <v>1507</v>
      </c>
      <c r="S29" t="s">
        <v>1507</v>
      </c>
      <c r="T29" t="s">
        <v>1507</v>
      </c>
      <c r="U29" t="s">
        <v>1507</v>
      </c>
      <c r="V29" t="s">
        <v>1507</v>
      </c>
      <c r="W29" t="s">
        <v>1507</v>
      </c>
      <c r="X29" t="s">
        <v>1507</v>
      </c>
      <c r="Y29" t="s">
        <v>1507</v>
      </c>
      <c r="Z29" t="s">
        <v>1507</v>
      </c>
      <c r="AA29" t="s">
        <v>1507</v>
      </c>
      <c r="AB29" t="s">
        <v>1507</v>
      </c>
    </row>
    <row r="30" spans="1:28" ht="18.75" x14ac:dyDescent="0.25">
      <c r="A30" s="6">
        <f t="shared" si="2"/>
        <v>0.5</v>
      </c>
      <c r="B30" s="7" t="str">
        <f t="array" aca="1" ref="B30" ca="1">OFFSET(C30,,MATCH(TRUE,C30:AJ30&lt;&gt;"",0)-1)</f>
        <v xml:space="preserve"> Desbloqueo antipánico</v>
      </c>
      <c r="C30" t="s">
        <v>826</v>
      </c>
      <c r="D30" t="s">
        <v>988</v>
      </c>
      <c r="K30" t="s">
        <v>1205</v>
      </c>
      <c r="N30" t="s">
        <v>1508</v>
      </c>
      <c r="O30" t="s">
        <v>1508</v>
      </c>
      <c r="P30" t="s">
        <v>1508</v>
      </c>
      <c r="R30" t="s">
        <v>1508</v>
      </c>
      <c r="S30" t="s">
        <v>1508</v>
      </c>
      <c r="T30" t="s">
        <v>1508</v>
      </c>
      <c r="U30" t="s">
        <v>1508</v>
      </c>
      <c r="V30" t="s">
        <v>1508</v>
      </c>
      <c r="W30" t="s">
        <v>1508</v>
      </c>
      <c r="X30" t="s">
        <v>1508</v>
      </c>
    </row>
    <row r="31" spans="1:28" ht="18.75" x14ac:dyDescent="0.25">
      <c r="A31" s="6">
        <f t="shared" si="2"/>
        <v>1</v>
      </c>
      <c r="B31" s="7" t="str">
        <f t="array" aca="1" ref="B31" ca="1">OFFSET(C31,,MATCH(TRUE,C31:AJ31&lt;&gt;"",0)-1)</f>
        <v xml:space="preserve"> Interruptor de parada de emergencia</v>
      </c>
      <c r="C31" t="s">
        <v>827</v>
      </c>
      <c r="D31" t="s">
        <v>827</v>
      </c>
      <c r="E31" t="s">
        <v>827</v>
      </c>
      <c r="F31" t="s">
        <v>827</v>
      </c>
      <c r="G31" t="s">
        <v>827</v>
      </c>
      <c r="H31" t="s">
        <v>827</v>
      </c>
      <c r="I31" t="s">
        <v>827</v>
      </c>
      <c r="J31" t="s">
        <v>827</v>
      </c>
      <c r="K31" t="s">
        <v>1206</v>
      </c>
      <c r="L31" t="s">
        <v>1206</v>
      </c>
      <c r="M31" t="s">
        <v>1380</v>
      </c>
      <c r="N31" t="s">
        <v>1509</v>
      </c>
      <c r="O31" t="s">
        <v>1509</v>
      </c>
      <c r="P31" t="s">
        <v>1509</v>
      </c>
      <c r="Q31" t="s">
        <v>1509</v>
      </c>
      <c r="R31" t="s">
        <v>1509</v>
      </c>
      <c r="S31" t="s">
        <v>1509</v>
      </c>
      <c r="T31" t="s">
        <v>1509</v>
      </c>
      <c r="U31" t="s">
        <v>1509</v>
      </c>
      <c r="V31" t="s">
        <v>1509</v>
      </c>
      <c r="W31" t="s">
        <v>1509</v>
      </c>
      <c r="X31" t="s">
        <v>1509</v>
      </c>
      <c r="Y31" t="s">
        <v>1509</v>
      </c>
      <c r="Z31" t="s">
        <v>1509</v>
      </c>
      <c r="AA31" t="s">
        <v>1509</v>
      </c>
      <c r="AB31" t="s">
        <v>1509</v>
      </c>
    </row>
    <row r="32" spans="1:28" ht="18.75" x14ac:dyDescent="0.25">
      <c r="A32" s="6">
        <f t="shared" si="2"/>
        <v>3.8461538461538436E-2</v>
      </c>
      <c r="B32" s="7" t="str">
        <f t="array" aca="1" ref="B32" ca="1">OFFSET(C32,,MATCH(TRUE,C32:AJ32&lt;&gt;"",0)-1)</f>
        <v xml:space="preserve"> Bloqueo manual del bloqueador de botellas</v>
      </c>
      <c r="G32" t="s">
        <v>1122</v>
      </c>
    </row>
    <row r="33" spans="1:36" ht="18.75" x14ac:dyDescent="0.25">
      <c r="A33" s="6">
        <f t="shared" si="2"/>
        <v>1</v>
      </c>
      <c r="B33" s="7" t="str">
        <f t="array" aca="1" ref="B33" ca="1">OFFSET(C33,,MATCH(TRUE,C33:AJ33&lt;&gt;"",0)-1)</f>
        <v xml:space="preserve"> Válvula de seguridad</v>
      </c>
      <c r="C33" t="s">
        <v>828</v>
      </c>
      <c r="D33" t="s">
        <v>828</v>
      </c>
      <c r="E33" t="s">
        <v>828</v>
      </c>
      <c r="F33" t="s">
        <v>828</v>
      </c>
      <c r="G33" t="s">
        <v>828</v>
      </c>
      <c r="H33" t="s">
        <v>828</v>
      </c>
      <c r="I33" t="s">
        <v>828</v>
      </c>
      <c r="J33" t="s">
        <v>828</v>
      </c>
      <c r="K33" t="s">
        <v>1207</v>
      </c>
      <c r="L33" t="s">
        <v>1207</v>
      </c>
      <c r="M33" t="s">
        <v>1207</v>
      </c>
      <c r="N33" t="s">
        <v>1510</v>
      </c>
      <c r="O33" t="s">
        <v>1510</v>
      </c>
      <c r="P33" t="s">
        <v>1510</v>
      </c>
      <c r="Q33" t="s">
        <v>1510</v>
      </c>
      <c r="R33" t="s">
        <v>1510</v>
      </c>
      <c r="S33" t="s">
        <v>1510</v>
      </c>
      <c r="T33" t="s">
        <v>1510</v>
      </c>
      <c r="U33" t="s">
        <v>1510</v>
      </c>
      <c r="V33" t="s">
        <v>1510</v>
      </c>
      <c r="W33" t="s">
        <v>1510</v>
      </c>
      <c r="X33" t="s">
        <v>1510</v>
      </c>
      <c r="Y33" t="s">
        <v>1510</v>
      </c>
      <c r="Z33" t="s">
        <v>1510</v>
      </c>
      <c r="AA33" t="s">
        <v>1510</v>
      </c>
      <c r="AB33" t="s">
        <v>1510</v>
      </c>
    </row>
    <row r="34" spans="1:36" ht="18.75" x14ac:dyDescent="0.25">
      <c r="A34" s="6">
        <f t="shared" si="2"/>
        <v>0.96153846153846156</v>
      </c>
      <c r="B34" s="7" t="str">
        <f t="array" aca="1" ref="B34" ca="1">OFFSET(C34,,MATCH(TRUE,C34:AJ34&lt;&gt;"",0)-1)</f>
        <v xml:space="preserve"> Dispositivo de enganche para seguro contra caídas</v>
      </c>
      <c r="C34" t="s">
        <v>829</v>
      </c>
      <c r="D34" t="s">
        <v>989</v>
      </c>
      <c r="E34" t="s">
        <v>989</v>
      </c>
      <c r="F34" t="s">
        <v>989</v>
      </c>
      <c r="G34" t="s">
        <v>1123</v>
      </c>
      <c r="H34" t="s">
        <v>1154</v>
      </c>
      <c r="I34" t="s">
        <v>1154</v>
      </c>
      <c r="J34" t="s">
        <v>1154</v>
      </c>
      <c r="K34" t="s">
        <v>1208</v>
      </c>
      <c r="L34" t="s">
        <v>1208</v>
      </c>
      <c r="N34" t="s">
        <v>1511</v>
      </c>
      <c r="O34" t="s">
        <v>1511</v>
      </c>
      <c r="P34" t="s">
        <v>1511</v>
      </c>
      <c r="Q34" t="s">
        <v>1511</v>
      </c>
      <c r="R34" t="s">
        <v>1511</v>
      </c>
      <c r="S34" t="s">
        <v>1511</v>
      </c>
      <c r="T34" t="s">
        <v>1511</v>
      </c>
      <c r="U34" t="s">
        <v>1722</v>
      </c>
      <c r="V34" t="s">
        <v>1722</v>
      </c>
      <c r="W34" t="s">
        <v>1722</v>
      </c>
      <c r="X34" t="s">
        <v>1722</v>
      </c>
      <c r="Y34" t="s">
        <v>1722</v>
      </c>
      <c r="Z34" t="s">
        <v>1722</v>
      </c>
      <c r="AA34" t="s">
        <v>1722</v>
      </c>
      <c r="AB34" t="s">
        <v>1722</v>
      </c>
    </row>
    <row r="35" spans="1:36" ht="18.75" x14ac:dyDescent="0.25">
      <c r="A35" s="6">
        <f t="shared" si="2"/>
        <v>0.30769230769230771</v>
      </c>
      <c r="B35" s="7" t="str">
        <f t="array" aca="1" ref="B35" ca="1">OFFSET(C35,,MATCH(TRUE,C35:AJ35&lt;&gt;"",0)-1)</f>
        <v xml:space="preserve"> Desbloqueo de emergencia</v>
      </c>
      <c r="E35" t="s">
        <v>1087</v>
      </c>
      <c r="F35" t="s">
        <v>1087</v>
      </c>
      <c r="H35" t="s">
        <v>826</v>
      </c>
      <c r="L35" t="s">
        <v>1349</v>
      </c>
      <c r="Q35" t="s">
        <v>1508</v>
      </c>
      <c r="Z35" t="s">
        <v>1508</v>
      </c>
      <c r="AA35" t="s">
        <v>1508</v>
      </c>
      <c r="AB35" t="s">
        <v>1508</v>
      </c>
    </row>
    <row r="36" spans="1:36" ht="18.75" x14ac:dyDescent="0.25">
      <c r="A36" s="6">
        <f t="shared" si="2"/>
        <v>7.6923076923076872E-2</v>
      </c>
      <c r="B36" s="7" t="str">
        <f t="array" aca="1" ref="B36" ca="1">OFFSET(C36,,MATCH(TRUE,C36:AJ36&lt;&gt;"",0)-1)</f>
        <v xml:space="preserve"> Barrera de paso</v>
      </c>
      <c r="J36" t="s">
        <v>1178</v>
      </c>
      <c r="Y36" t="s">
        <v>1742</v>
      </c>
    </row>
    <row r="37" spans="1:36" ht="18.75" x14ac:dyDescent="0.25">
      <c r="A37" s="6">
        <f t="shared" si="2"/>
        <v>3.8461538461538436E-2</v>
      </c>
      <c r="B37" s="7" t="str">
        <f t="array" aca="1" ref="B37" ca="1">OFFSET(C37,,MATCH(TRUE,C37:AJ37&lt;&gt;"",0)-1)</f>
        <v xml:space="preserve"> Puerta protectora en el techo de la sala blanca</v>
      </c>
      <c r="E37" t="s">
        <v>1088</v>
      </c>
    </row>
    <row r="38" spans="1:36" ht="18.75" x14ac:dyDescent="0.25">
      <c r="A38" s="6">
        <f t="shared" si="2"/>
        <v>0.96153846153846156</v>
      </c>
      <c r="B38" s="7" t="str">
        <f t="array" aca="1" ref="B38" ca="1">OFFSET(C38,,MATCH(TRUE,C38:AJ38&lt;&gt;"",0)-1)</f>
        <v xml:space="preserve"> Lugar de montaje de los dispositivos de protección</v>
      </c>
      <c r="C38" t="s">
        <v>830</v>
      </c>
      <c r="D38" t="s">
        <v>830</v>
      </c>
      <c r="E38" t="s">
        <v>830</v>
      </c>
      <c r="F38" t="s">
        <v>830</v>
      </c>
      <c r="G38" t="s">
        <v>830</v>
      </c>
      <c r="H38" t="s">
        <v>830</v>
      </c>
      <c r="I38" t="s">
        <v>830</v>
      </c>
      <c r="J38" t="s">
        <v>830</v>
      </c>
      <c r="K38" t="s">
        <v>1209</v>
      </c>
      <c r="L38" t="s">
        <v>1209</v>
      </c>
      <c r="M38" t="s">
        <v>1381</v>
      </c>
      <c r="N38" t="s">
        <v>1512</v>
      </c>
      <c r="O38" t="s">
        <v>1512</v>
      </c>
      <c r="P38" t="s">
        <v>1512</v>
      </c>
      <c r="Q38" t="s">
        <v>1512</v>
      </c>
      <c r="R38" t="s">
        <v>1512</v>
      </c>
      <c r="S38" t="s">
        <v>1512</v>
      </c>
      <c r="T38" t="s">
        <v>1512</v>
      </c>
      <c r="U38" t="s">
        <v>1512</v>
      </c>
      <c r="V38" t="s">
        <v>1512</v>
      </c>
      <c r="W38" t="s">
        <v>1512</v>
      </c>
      <c r="X38" t="s">
        <v>1512</v>
      </c>
      <c r="Y38" t="s">
        <v>1512</v>
      </c>
      <c r="Z38" t="s">
        <v>1512</v>
      </c>
      <c r="AB38" t="s">
        <v>1512</v>
      </c>
    </row>
    <row r="39" spans="1:36" ht="18.75" x14ac:dyDescent="0.25">
      <c r="A39" s="6">
        <f t="shared" si="2"/>
        <v>0.96153846153846156</v>
      </c>
      <c r="B39" s="7" t="str">
        <f t="array" aca="1" ref="B39" ca="1">OFFSET(C39,,MATCH(TRUE,C39:AJ39&lt;&gt;"",0)-1)</f>
        <v xml:space="preserve"> Dispositivos para separar de las fuentes de energía y asegurar</v>
      </c>
      <c r="C39" t="s">
        <v>831</v>
      </c>
      <c r="D39" t="s">
        <v>990</v>
      </c>
      <c r="E39" t="s">
        <v>990</v>
      </c>
      <c r="F39" t="s">
        <v>990</v>
      </c>
      <c r="G39" t="s">
        <v>831</v>
      </c>
      <c r="H39" t="s">
        <v>831</v>
      </c>
      <c r="I39" t="s">
        <v>831</v>
      </c>
      <c r="J39" t="s">
        <v>831</v>
      </c>
      <c r="K39" t="s">
        <v>1210</v>
      </c>
      <c r="L39" t="s">
        <v>1210</v>
      </c>
      <c r="N39" t="s">
        <v>1513</v>
      </c>
      <c r="O39" t="s">
        <v>1513</v>
      </c>
      <c r="P39" t="s">
        <v>1513</v>
      </c>
      <c r="Q39" t="s">
        <v>1513</v>
      </c>
      <c r="R39" t="s">
        <v>1513</v>
      </c>
      <c r="S39" t="s">
        <v>1513</v>
      </c>
      <c r="T39" t="s">
        <v>1513</v>
      </c>
      <c r="U39" t="s">
        <v>1723</v>
      </c>
      <c r="V39" t="s">
        <v>1723</v>
      </c>
      <c r="W39" t="s">
        <v>1723</v>
      </c>
      <c r="X39" t="s">
        <v>1723</v>
      </c>
      <c r="Y39" t="s">
        <v>1723</v>
      </c>
      <c r="Z39" t="s">
        <v>1513</v>
      </c>
      <c r="AA39" t="s">
        <v>1513</v>
      </c>
      <c r="AB39" t="s">
        <v>1513</v>
      </c>
    </row>
    <row r="40" spans="1:36" ht="18.75" x14ac:dyDescent="0.25">
      <c r="A40" s="6">
        <f t="shared" si="2"/>
        <v>1</v>
      </c>
      <c r="B40" s="7" t="str">
        <f t="array" aca="1" ref="B40" ca="1">OFFSET(C40,,MATCH(TRUE,C40:AJ40&lt;&gt;"",0)-1)</f>
        <v xml:space="preserve"> Comportamiento en caso de situaciones de peligro y accidentes</v>
      </c>
      <c r="C40" t="s">
        <v>832</v>
      </c>
      <c r="D40" t="s">
        <v>991</v>
      </c>
      <c r="E40" t="s">
        <v>991</v>
      </c>
      <c r="F40" t="s">
        <v>991</v>
      </c>
      <c r="G40" t="s">
        <v>832</v>
      </c>
      <c r="H40" t="s">
        <v>832</v>
      </c>
      <c r="I40" t="s">
        <v>832</v>
      </c>
      <c r="J40" t="s">
        <v>832</v>
      </c>
      <c r="K40" t="s">
        <v>1211</v>
      </c>
      <c r="L40" t="s">
        <v>1211</v>
      </c>
      <c r="M40" t="s">
        <v>1382</v>
      </c>
      <c r="N40" t="s">
        <v>1514</v>
      </c>
      <c r="O40" t="s">
        <v>1514</v>
      </c>
      <c r="P40" t="s">
        <v>1514</v>
      </c>
      <c r="Q40" t="s">
        <v>1514</v>
      </c>
      <c r="R40" t="s">
        <v>1514</v>
      </c>
      <c r="S40" t="s">
        <v>1514</v>
      </c>
      <c r="T40" t="s">
        <v>1514</v>
      </c>
      <c r="U40" t="s">
        <v>1514</v>
      </c>
      <c r="V40" t="s">
        <v>1514</v>
      </c>
      <c r="W40" t="s">
        <v>1514</v>
      </c>
      <c r="X40" t="s">
        <v>1514</v>
      </c>
      <c r="Y40" t="s">
        <v>1514</v>
      </c>
      <c r="Z40" t="s">
        <v>1514</v>
      </c>
      <c r="AA40" t="s">
        <v>1514</v>
      </c>
      <c r="AB40" t="s">
        <v>1514</v>
      </c>
    </row>
    <row r="41" spans="1:36" ht="18.75" x14ac:dyDescent="0.25">
      <c r="A41" s="6">
        <f t="shared" si="2"/>
        <v>0.96153846153846156</v>
      </c>
      <c r="B41" s="7" t="str">
        <f t="array" aca="1" ref="B41" ca="1">OFFSET(C41,,MATCH(TRUE,C41:AJ41&lt;&gt;"",0)-1)</f>
        <v xml:space="preserve"> Estados operativos y modos operativos</v>
      </c>
      <c r="C41" t="s">
        <v>833</v>
      </c>
      <c r="D41" t="s">
        <v>833</v>
      </c>
      <c r="E41" t="s">
        <v>833</v>
      </c>
      <c r="F41" t="s">
        <v>833</v>
      </c>
      <c r="G41" t="s">
        <v>833</v>
      </c>
      <c r="H41" t="s">
        <v>833</v>
      </c>
      <c r="I41" t="s">
        <v>833</v>
      </c>
      <c r="J41" t="s">
        <v>833</v>
      </c>
      <c r="K41" t="s">
        <v>1212</v>
      </c>
      <c r="L41" t="s">
        <v>1212</v>
      </c>
      <c r="N41" t="s">
        <v>1515</v>
      </c>
      <c r="O41" t="s">
        <v>1515</v>
      </c>
      <c r="P41" t="s">
        <v>1515</v>
      </c>
      <c r="Q41" t="s">
        <v>1515</v>
      </c>
      <c r="R41" t="s">
        <v>1515</v>
      </c>
      <c r="S41" t="s">
        <v>1515</v>
      </c>
      <c r="T41" t="s">
        <v>1515</v>
      </c>
      <c r="U41" t="s">
        <v>1515</v>
      </c>
      <c r="V41" t="s">
        <v>1515</v>
      </c>
      <c r="W41" t="s">
        <v>1515</v>
      </c>
      <c r="X41" t="s">
        <v>1515</v>
      </c>
      <c r="Y41" t="s">
        <v>1515</v>
      </c>
      <c r="Z41" t="s">
        <v>1515</v>
      </c>
      <c r="AA41" t="s">
        <v>1515</v>
      </c>
      <c r="AB41" t="s">
        <v>1515</v>
      </c>
      <c r="AD41" s="1"/>
      <c r="AE41" s="1"/>
      <c r="AF41" s="1"/>
      <c r="AG41" s="1"/>
      <c r="AH41" s="1"/>
      <c r="AI41" s="1"/>
      <c r="AJ41" s="1"/>
    </row>
    <row r="42" spans="1:36" ht="18.75" x14ac:dyDescent="0.25">
      <c r="A42" s="6">
        <f t="shared" si="2"/>
        <v>0.96153846153846156</v>
      </c>
      <c r="B42" s="7" t="str">
        <f t="array" aca="1" ref="B42" ca="1">OFFSET(C42,,MATCH(TRUE,C42:AJ42&lt;&gt;"",0)-1)</f>
        <v xml:space="preserve"> Máquina desconectada de las fuentes de energía</v>
      </c>
      <c r="C42" t="s">
        <v>834</v>
      </c>
      <c r="D42" t="s">
        <v>992</v>
      </c>
      <c r="E42" t="s">
        <v>992</v>
      </c>
      <c r="F42" t="s">
        <v>992</v>
      </c>
      <c r="G42" t="s">
        <v>834</v>
      </c>
      <c r="H42" t="s">
        <v>834</v>
      </c>
      <c r="I42" t="s">
        <v>834</v>
      </c>
      <c r="J42" t="s">
        <v>834</v>
      </c>
      <c r="K42" t="s">
        <v>1213</v>
      </c>
      <c r="L42" t="s">
        <v>1350</v>
      </c>
      <c r="N42" t="s">
        <v>1516</v>
      </c>
      <c r="O42" t="s">
        <v>1516</v>
      </c>
      <c r="P42" t="s">
        <v>1516</v>
      </c>
      <c r="Q42" t="s">
        <v>1516</v>
      </c>
      <c r="R42" t="s">
        <v>1516</v>
      </c>
      <c r="S42" t="s">
        <v>1516</v>
      </c>
      <c r="T42" t="s">
        <v>1516</v>
      </c>
      <c r="U42" t="s">
        <v>1516</v>
      </c>
      <c r="V42" t="s">
        <v>1516</v>
      </c>
      <c r="W42" t="s">
        <v>1516</v>
      </c>
      <c r="X42" t="s">
        <v>1516</v>
      </c>
      <c r="Y42" t="s">
        <v>1516</v>
      </c>
      <c r="Z42" t="s">
        <v>1516</v>
      </c>
      <c r="AA42" t="s">
        <v>1516</v>
      </c>
      <c r="AB42" t="s">
        <v>1516</v>
      </c>
    </row>
    <row r="43" spans="1:36" ht="18.75" x14ac:dyDescent="0.25">
      <c r="A43" s="6">
        <f t="shared" si="2"/>
        <v>0.96153846153846156</v>
      </c>
      <c r="B43" s="7" t="str">
        <f t="array" aca="1" ref="B43" ca="1">OFFSET(C43,,MATCH(TRUE,C43:AJ43&lt;&gt;"",0)-1)</f>
        <v xml:space="preserve"> Estado operativo DESC</v>
      </c>
      <c r="C43" t="s">
        <v>835</v>
      </c>
      <c r="D43" t="s">
        <v>993</v>
      </c>
      <c r="E43" t="s">
        <v>993</v>
      </c>
      <c r="F43" t="s">
        <v>993</v>
      </c>
      <c r="G43" t="s">
        <v>835</v>
      </c>
      <c r="H43" t="s">
        <v>1155</v>
      </c>
      <c r="I43" t="s">
        <v>1155</v>
      </c>
      <c r="J43" t="s">
        <v>1155</v>
      </c>
      <c r="K43" t="s">
        <v>1214</v>
      </c>
      <c r="L43" t="s">
        <v>1214</v>
      </c>
      <c r="N43" t="s">
        <v>1517</v>
      </c>
      <c r="O43" t="s">
        <v>1517</v>
      </c>
      <c r="P43" t="s">
        <v>1517</v>
      </c>
      <c r="Q43" t="s">
        <v>1517</v>
      </c>
      <c r="R43" t="s">
        <v>1517</v>
      </c>
      <c r="S43" t="s">
        <v>1517</v>
      </c>
      <c r="T43" t="s">
        <v>1517</v>
      </c>
      <c r="U43" t="s">
        <v>1517</v>
      </c>
      <c r="V43" t="s">
        <v>1517</v>
      </c>
      <c r="W43" t="s">
        <v>1517</v>
      </c>
      <c r="X43" t="s">
        <v>1517</v>
      </c>
      <c r="Y43" t="s">
        <v>1743</v>
      </c>
      <c r="Z43" t="s">
        <v>1517</v>
      </c>
      <c r="AA43" t="s">
        <v>1517</v>
      </c>
      <c r="AB43" t="s">
        <v>1517</v>
      </c>
      <c r="AC43" s="1"/>
    </row>
    <row r="44" spans="1:36" ht="18.75" x14ac:dyDescent="0.25">
      <c r="A44" s="6">
        <f t="shared" si="2"/>
        <v>0.96153846153846156</v>
      </c>
      <c r="B44" s="7" t="str">
        <f t="array" aca="1" ref="B44" ca="1">OFFSET(C44,,MATCH(TRUE,C44:AJ44&lt;&gt;"",0)-1)</f>
        <v xml:space="preserve"> Estado operativo CON</v>
      </c>
      <c r="C44" t="s">
        <v>836</v>
      </c>
      <c r="D44" t="s">
        <v>994</v>
      </c>
      <c r="E44" s="1" t="s">
        <v>994</v>
      </c>
      <c r="F44" t="s">
        <v>994</v>
      </c>
      <c r="G44" t="s">
        <v>836</v>
      </c>
      <c r="H44" t="s">
        <v>1156</v>
      </c>
      <c r="I44" t="s">
        <v>1156</v>
      </c>
      <c r="J44" t="s">
        <v>1156</v>
      </c>
      <c r="K44" t="s">
        <v>1215</v>
      </c>
      <c r="L44" t="s">
        <v>1215</v>
      </c>
      <c r="N44" t="s">
        <v>1518</v>
      </c>
      <c r="O44" t="s">
        <v>1518</v>
      </c>
      <c r="P44" s="1" t="s">
        <v>1518</v>
      </c>
      <c r="Q44" t="s">
        <v>1518</v>
      </c>
      <c r="R44" t="s">
        <v>1518</v>
      </c>
      <c r="S44" t="s">
        <v>1518</v>
      </c>
      <c r="T44" t="s">
        <v>1518</v>
      </c>
      <c r="U44" t="s">
        <v>1518</v>
      </c>
      <c r="V44" t="s">
        <v>1518</v>
      </c>
      <c r="W44" t="s">
        <v>1518</v>
      </c>
      <c r="X44" t="s">
        <v>1518</v>
      </c>
      <c r="Y44" t="s">
        <v>1744</v>
      </c>
      <c r="Z44" t="s">
        <v>1518</v>
      </c>
      <c r="AA44" t="s">
        <v>1518</v>
      </c>
      <c r="AB44" t="s">
        <v>1518</v>
      </c>
    </row>
    <row r="45" spans="1:36" ht="18.75" x14ac:dyDescent="0.25">
      <c r="A45" s="6">
        <f t="shared" si="2"/>
        <v>3.8461538461538436E-2</v>
      </c>
      <c r="B45" s="7" t="str">
        <f t="array" aca="1" ref="B45" ca="1">OFFSET(C45,,MATCH(TRUE,C45:AJ45&lt;&gt;"",0)-1)</f>
        <v xml:space="preserve"> Cambio del modo operativo</v>
      </c>
      <c r="F45" t="s">
        <v>1111</v>
      </c>
    </row>
    <row r="46" spans="1:36" ht="18.75" x14ac:dyDescent="0.25">
      <c r="A46" s="6">
        <f t="shared" si="2"/>
        <v>1</v>
      </c>
      <c r="B46" s="7" t="str">
        <f t="array" aca="1" ref="B46" ca="1">OFFSET(C46,,MATCH(TRUE,C46:AJ46&lt;&gt;"",0)-1)</f>
        <v xml:space="preserve"> Depósitos de presión y tuberías</v>
      </c>
      <c r="C46" t="s">
        <v>837</v>
      </c>
      <c r="D46" s="1" t="s">
        <v>995</v>
      </c>
      <c r="E46" t="s">
        <v>995</v>
      </c>
      <c r="F46" s="1" t="s">
        <v>995</v>
      </c>
      <c r="G46" t="s">
        <v>837</v>
      </c>
      <c r="H46" t="s">
        <v>837</v>
      </c>
      <c r="I46" t="s">
        <v>837</v>
      </c>
      <c r="J46" s="1" t="s">
        <v>837</v>
      </c>
      <c r="K46" t="s">
        <v>1216</v>
      </c>
      <c r="L46" s="1" t="s">
        <v>1216</v>
      </c>
      <c r="M46" t="s">
        <v>1383</v>
      </c>
      <c r="N46" t="s">
        <v>1519</v>
      </c>
      <c r="O46" t="s">
        <v>1519</v>
      </c>
      <c r="P46" t="s">
        <v>1519</v>
      </c>
      <c r="Q46" t="s">
        <v>1519</v>
      </c>
      <c r="R46" t="s">
        <v>1519</v>
      </c>
      <c r="S46" s="1" t="s">
        <v>1519</v>
      </c>
      <c r="T46" s="1" t="s">
        <v>1519</v>
      </c>
      <c r="U46" s="1" t="s">
        <v>1519</v>
      </c>
      <c r="V46" s="1" t="s">
        <v>1519</v>
      </c>
      <c r="W46" s="1" t="s">
        <v>1519</v>
      </c>
      <c r="X46" s="1" t="s">
        <v>1519</v>
      </c>
      <c r="Y46" s="1" t="s">
        <v>1519</v>
      </c>
      <c r="Z46" s="1" t="s">
        <v>1519</v>
      </c>
      <c r="AA46" t="s">
        <v>1519</v>
      </c>
      <c r="AB46" t="s">
        <v>1519</v>
      </c>
    </row>
    <row r="47" spans="1:36" ht="18.75" x14ac:dyDescent="0.25">
      <c r="A47" s="6">
        <f t="shared" si="2"/>
        <v>1</v>
      </c>
      <c r="B47" s="7" t="str">
        <f t="array" aca="1" ref="B47" ca="1">OFFSET(C47,,MATCH(TRUE,C47:AJ47&lt;&gt;"",0)-1)</f>
        <v xml:space="preserve"> Peligros residuales</v>
      </c>
      <c r="C47" t="s">
        <v>838</v>
      </c>
      <c r="D47" t="s">
        <v>838</v>
      </c>
      <c r="E47" t="s">
        <v>838</v>
      </c>
      <c r="F47" t="s">
        <v>838</v>
      </c>
      <c r="G47" s="1" t="s">
        <v>838</v>
      </c>
      <c r="H47" s="1" t="s">
        <v>838</v>
      </c>
      <c r="I47" s="1" t="s">
        <v>838</v>
      </c>
      <c r="J47" t="s">
        <v>838</v>
      </c>
      <c r="K47" s="1" t="s">
        <v>1217</v>
      </c>
      <c r="L47" t="s">
        <v>1217</v>
      </c>
      <c r="M47" t="s">
        <v>1384</v>
      </c>
      <c r="N47" s="1" t="s">
        <v>1520</v>
      </c>
      <c r="O47" t="s">
        <v>1520</v>
      </c>
      <c r="P47" t="s">
        <v>1520</v>
      </c>
      <c r="Q47" s="1" t="s">
        <v>1520</v>
      </c>
      <c r="R47" s="1" t="s">
        <v>1520</v>
      </c>
      <c r="S47" t="s">
        <v>1520</v>
      </c>
      <c r="T47" t="s">
        <v>1520</v>
      </c>
      <c r="U47" t="s">
        <v>1520</v>
      </c>
      <c r="V47" t="s">
        <v>1520</v>
      </c>
      <c r="W47" t="s">
        <v>1520</v>
      </c>
      <c r="X47" t="s">
        <v>1520</v>
      </c>
      <c r="Y47" t="s">
        <v>1520</v>
      </c>
      <c r="Z47" t="s">
        <v>1520</v>
      </c>
      <c r="AA47" t="s">
        <v>1520</v>
      </c>
      <c r="AB47" s="1" t="s">
        <v>1520</v>
      </c>
    </row>
    <row r="48" spans="1:36" ht="18.75" x14ac:dyDescent="0.25">
      <c r="A48" s="6">
        <f t="shared" si="2"/>
        <v>1</v>
      </c>
      <c r="B48" s="12" t="str">
        <f t="array" aca="1" ref="B48" ca="1">OFFSET(C48,,MATCH(TRUE,C48:AJ48&lt;&gt;"",0)-1)</f>
        <v xml:space="preserve"> Estructura y función</v>
      </c>
      <c r="C48" s="13" t="s">
        <v>839</v>
      </c>
      <c r="D48" s="13" t="s">
        <v>996</v>
      </c>
      <c r="E48" s="13" t="s">
        <v>996</v>
      </c>
      <c r="F48" s="13" t="s">
        <v>996</v>
      </c>
      <c r="G48" s="13" t="s">
        <v>839</v>
      </c>
      <c r="H48" s="13" t="s">
        <v>839</v>
      </c>
      <c r="I48" s="13" t="s">
        <v>839</v>
      </c>
      <c r="J48" s="13" t="s">
        <v>839</v>
      </c>
      <c r="K48" s="13" t="s">
        <v>1218</v>
      </c>
      <c r="L48" s="13" t="s">
        <v>1218</v>
      </c>
      <c r="M48" s="13" t="s">
        <v>1218</v>
      </c>
      <c r="N48" s="13" t="s">
        <v>1521</v>
      </c>
      <c r="O48" s="13" t="s">
        <v>1521</v>
      </c>
      <c r="P48" s="13" t="s">
        <v>1521</v>
      </c>
      <c r="Q48" s="13" t="s">
        <v>1521</v>
      </c>
      <c r="R48" s="13" t="s">
        <v>1521</v>
      </c>
      <c r="S48" s="13" t="s">
        <v>1521</v>
      </c>
      <c r="T48" s="13" t="s">
        <v>1521</v>
      </c>
      <c r="U48" s="13" t="s">
        <v>1521</v>
      </c>
      <c r="V48" s="13" t="s">
        <v>1521</v>
      </c>
      <c r="W48" s="13" t="s">
        <v>1521</v>
      </c>
      <c r="X48" s="13" t="s">
        <v>1521</v>
      </c>
      <c r="Y48" s="13" t="s">
        <v>1521</v>
      </c>
      <c r="Z48" s="13" t="s">
        <v>1521</v>
      </c>
      <c r="AA48" s="13" t="s">
        <v>1521</v>
      </c>
      <c r="AB48" s="13" t="s">
        <v>1521</v>
      </c>
    </row>
    <row r="49" spans="1:28" ht="18.75" x14ac:dyDescent="0.25">
      <c r="A49" s="6">
        <f t="shared" si="2"/>
        <v>0.15384615384615385</v>
      </c>
      <c r="B49" s="7" t="str">
        <f t="array" aca="1" ref="B49" ca="1">OFFSET(C49,,MATCH(TRUE,C49:AJ49&lt;&gt;"",0)-1)</f>
        <v xml:space="preserve"> Sala blanca</v>
      </c>
      <c r="E49" t="s">
        <v>1089</v>
      </c>
      <c r="P49" t="s">
        <v>1688</v>
      </c>
      <c r="X49" t="s">
        <v>1688</v>
      </c>
      <c r="AB49" t="s">
        <v>1688</v>
      </c>
    </row>
    <row r="50" spans="1:28" ht="18.75" x14ac:dyDescent="0.25">
      <c r="A50" s="6">
        <f t="shared" si="2"/>
        <v>0.11538461538461542</v>
      </c>
      <c r="B50" s="7" t="str">
        <f t="array" aca="1" ref="B50" ca="1">OFFSET(C50,,MATCH(TRUE,C50:AJ50&lt;&gt;"",0)-1)</f>
        <v xml:space="preserve"> Medidas de higiene</v>
      </c>
      <c r="E50" t="s">
        <v>1090</v>
      </c>
      <c r="P50" t="s">
        <v>1689</v>
      </c>
      <c r="X50" t="s">
        <v>1689</v>
      </c>
    </row>
    <row r="51" spans="1:28" ht="18.75" x14ac:dyDescent="0.25">
      <c r="A51" s="6">
        <f t="shared" si="2"/>
        <v>1</v>
      </c>
      <c r="B51" s="7" t="str">
        <f t="array" aca="1" ref="B51" ca="1">OFFSET(C51,,MATCH(TRUE,C51:AJ51&lt;&gt;"",0)-1)</f>
        <v xml:space="preserve"> Máquina llenadora de botellas de vidrio y tapadora</v>
      </c>
      <c r="C51" t="s">
        <v>840</v>
      </c>
      <c r="D51" t="s">
        <v>997</v>
      </c>
      <c r="E51" t="s">
        <v>1091</v>
      </c>
      <c r="F51" t="s">
        <v>1112</v>
      </c>
      <c r="G51" t="s">
        <v>840</v>
      </c>
      <c r="H51" t="s">
        <v>840</v>
      </c>
      <c r="I51" t="s">
        <v>840</v>
      </c>
      <c r="J51" t="s">
        <v>840</v>
      </c>
      <c r="K51" t="s">
        <v>1219</v>
      </c>
      <c r="L51" t="s">
        <v>1219</v>
      </c>
      <c r="M51" t="s">
        <v>1385</v>
      </c>
      <c r="N51" t="s">
        <v>1522</v>
      </c>
      <c r="O51" t="s">
        <v>1522</v>
      </c>
      <c r="P51" t="s">
        <v>1522</v>
      </c>
      <c r="Q51" t="s">
        <v>1522</v>
      </c>
      <c r="R51" t="s">
        <v>1522</v>
      </c>
      <c r="S51" t="s">
        <v>1522</v>
      </c>
      <c r="T51" t="s">
        <v>1522</v>
      </c>
      <c r="U51" t="s">
        <v>1522</v>
      </c>
      <c r="V51" t="s">
        <v>1522</v>
      </c>
      <c r="W51" t="s">
        <v>1522</v>
      </c>
      <c r="X51" t="s">
        <v>1522</v>
      </c>
      <c r="Y51" t="s">
        <v>1522</v>
      </c>
      <c r="Z51" t="s">
        <v>1522</v>
      </c>
      <c r="AA51" t="s">
        <v>1522</v>
      </c>
      <c r="AB51" t="s">
        <v>1522</v>
      </c>
    </row>
    <row r="52" spans="1:28" ht="18.75" x14ac:dyDescent="0.25">
      <c r="A52" s="6">
        <f t="shared" si="2"/>
        <v>1</v>
      </c>
      <c r="B52" s="7" t="str">
        <f t="array" aca="1" ref="B52" ca="1">OFFSET(C52,,MATCH(TRUE,C52:AJ52&lt;&gt;"",0)-1)</f>
        <v xml:space="preserve"> Flujo de botellas</v>
      </c>
      <c r="C52" t="s">
        <v>841</v>
      </c>
      <c r="D52" t="s">
        <v>841</v>
      </c>
      <c r="E52" t="s">
        <v>841</v>
      </c>
      <c r="F52" t="s">
        <v>841</v>
      </c>
      <c r="G52" t="s">
        <v>841</v>
      </c>
      <c r="H52" t="s">
        <v>841</v>
      </c>
      <c r="I52" t="s">
        <v>841</v>
      </c>
      <c r="J52" t="s">
        <v>841</v>
      </c>
      <c r="K52" t="s">
        <v>1220</v>
      </c>
      <c r="L52" t="s">
        <v>1220</v>
      </c>
      <c r="M52" t="s">
        <v>1220</v>
      </c>
      <c r="N52" t="s">
        <v>1523</v>
      </c>
      <c r="O52" t="s">
        <v>1523</v>
      </c>
      <c r="P52" t="s">
        <v>1523</v>
      </c>
      <c r="Q52" t="s">
        <v>1523</v>
      </c>
      <c r="R52" t="s">
        <v>1523</v>
      </c>
      <c r="S52" t="s">
        <v>1523</v>
      </c>
      <c r="T52" t="s">
        <v>1523</v>
      </c>
      <c r="U52" t="s">
        <v>1523</v>
      </c>
      <c r="V52" t="s">
        <v>1523</v>
      </c>
      <c r="W52" t="s">
        <v>1523</v>
      </c>
      <c r="X52" t="s">
        <v>1523</v>
      </c>
      <c r="Y52" t="s">
        <v>1523</v>
      </c>
      <c r="Z52" t="s">
        <v>1523</v>
      </c>
      <c r="AA52" t="s">
        <v>1523</v>
      </c>
      <c r="AB52" t="s">
        <v>1523</v>
      </c>
    </row>
    <row r="53" spans="1:28" ht="18.75" x14ac:dyDescent="0.25">
      <c r="A53" s="6">
        <f t="shared" si="2"/>
        <v>1</v>
      </c>
      <c r="B53" s="7" t="str">
        <f t="array" aca="1" ref="B53" ca="1">OFFSET(C53,,MATCH(TRUE,C53:AJ53&lt;&gt;"",0)-1)</f>
        <v xml:space="preserve"> Transporte de botellas</v>
      </c>
      <c r="C53" t="s">
        <v>842</v>
      </c>
      <c r="D53" t="s">
        <v>998</v>
      </c>
      <c r="E53" t="s">
        <v>842</v>
      </c>
      <c r="F53" t="s">
        <v>842</v>
      </c>
      <c r="G53" t="s">
        <v>842</v>
      </c>
      <c r="H53" t="s">
        <v>842</v>
      </c>
      <c r="I53" t="s">
        <v>842</v>
      </c>
      <c r="J53" t="s">
        <v>842</v>
      </c>
      <c r="K53" t="s">
        <v>1221</v>
      </c>
      <c r="L53" t="s">
        <v>1221</v>
      </c>
      <c r="M53" t="s">
        <v>1221</v>
      </c>
      <c r="N53" t="s">
        <v>1524</v>
      </c>
      <c r="O53" t="s">
        <v>1524</v>
      </c>
      <c r="P53" t="s">
        <v>1524</v>
      </c>
      <c r="Q53" t="s">
        <v>1524</v>
      </c>
      <c r="R53" t="s">
        <v>1524</v>
      </c>
      <c r="S53" t="s">
        <v>1524</v>
      </c>
      <c r="T53" t="s">
        <v>1524</v>
      </c>
      <c r="U53" t="s">
        <v>1524</v>
      </c>
      <c r="V53" t="s">
        <v>1524</v>
      </c>
      <c r="W53" t="s">
        <v>1524</v>
      </c>
      <c r="X53" t="s">
        <v>1524</v>
      </c>
      <c r="Y53" t="s">
        <v>1524</v>
      </c>
      <c r="Z53" t="s">
        <v>1524</v>
      </c>
      <c r="AA53" t="s">
        <v>1524</v>
      </c>
      <c r="AB53" t="s">
        <v>1524</v>
      </c>
    </row>
    <row r="54" spans="1:28" ht="18.75" x14ac:dyDescent="0.25">
      <c r="A54" s="6">
        <f t="shared" si="2"/>
        <v>1</v>
      </c>
      <c r="B54" s="7" t="str">
        <f t="array" aca="1" ref="B54" ca="1">OFFSET(C54,,MATCH(TRUE,C54:AJ54&lt;&gt;"",0)-1)</f>
        <v xml:space="preserve"> Temporización</v>
      </c>
      <c r="C54" t="s">
        <v>843</v>
      </c>
      <c r="D54" t="s">
        <v>999</v>
      </c>
      <c r="E54" t="s">
        <v>999</v>
      </c>
      <c r="F54" t="s">
        <v>999</v>
      </c>
      <c r="G54" t="s">
        <v>843</v>
      </c>
      <c r="H54" t="s">
        <v>843</v>
      </c>
      <c r="I54" t="s">
        <v>843</v>
      </c>
      <c r="J54" t="s">
        <v>843</v>
      </c>
      <c r="K54" t="s">
        <v>1222</v>
      </c>
      <c r="L54" t="s">
        <v>1222</v>
      </c>
      <c r="M54" t="s">
        <v>1386</v>
      </c>
      <c r="N54" t="s">
        <v>1525</v>
      </c>
      <c r="O54" t="s">
        <v>1525</v>
      </c>
      <c r="P54" t="s">
        <v>1525</v>
      </c>
      <c r="Q54" t="s">
        <v>1525</v>
      </c>
      <c r="R54" t="s">
        <v>1525</v>
      </c>
      <c r="S54" t="s">
        <v>1525</v>
      </c>
      <c r="T54" t="s">
        <v>1525</v>
      </c>
      <c r="U54" t="s">
        <v>1525</v>
      </c>
      <c r="V54" t="s">
        <v>1525</v>
      </c>
      <c r="W54" t="s">
        <v>1525</v>
      </c>
      <c r="X54" t="s">
        <v>1525</v>
      </c>
      <c r="Y54" t="s">
        <v>1745</v>
      </c>
      <c r="Z54" t="s">
        <v>1525</v>
      </c>
      <c r="AA54" t="s">
        <v>1525</v>
      </c>
      <c r="AB54" t="s">
        <v>1525</v>
      </c>
    </row>
    <row r="55" spans="1:28" ht="18.75" x14ac:dyDescent="0.25">
      <c r="A55" s="6">
        <f t="shared" si="2"/>
        <v>3.8461538461538436E-2</v>
      </c>
      <c r="B55" s="7" t="str">
        <f t="array" aca="1" ref="B55" ca="1">OFFSET(C55,,MATCH(TRUE,C55:AJ55&lt;&gt;"",0)-1)</f>
        <v xml:space="preserve"> Machine drive</v>
      </c>
      <c r="P55" t="s">
        <v>1690</v>
      </c>
    </row>
    <row r="56" spans="1:28" ht="18.75" x14ac:dyDescent="0.25">
      <c r="A56" s="6">
        <f t="shared" si="2"/>
        <v>7.6923076923076872E-2</v>
      </c>
      <c r="B56" s="7" t="str">
        <f t="array" aca="1" ref="B56" ca="1">OFFSET(C56,,MATCH(TRUE,C56:AJ56&lt;&gt;"",0)-1)</f>
        <v>Distribuidor de nós</v>
      </c>
      <c r="L56" t="s">
        <v>1917</v>
      </c>
      <c r="Q56" t="s">
        <v>1703</v>
      </c>
    </row>
    <row r="57" spans="1:28" ht="18.75" x14ac:dyDescent="0.25">
      <c r="A57" s="6">
        <f t="shared" si="2"/>
        <v>1</v>
      </c>
      <c r="B57" s="7" t="str">
        <f t="array" aca="1" ref="B57" ca="1">OFFSET(C57,,MATCH(TRUE,C57:AJ57&lt;&gt;"",0)-1)</f>
        <v xml:space="preserve"> Nodo de válvulas</v>
      </c>
      <c r="C57" t="s">
        <v>844</v>
      </c>
      <c r="D57" t="s">
        <v>1000</v>
      </c>
      <c r="E57" t="s">
        <v>844</v>
      </c>
      <c r="F57" t="s">
        <v>844</v>
      </c>
      <c r="G57" t="s">
        <v>844</v>
      </c>
      <c r="H57" t="s">
        <v>844</v>
      </c>
      <c r="I57" t="s">
        <v>844</v>
      </c>
      <c r="J57" t="s">
        <v>844</v>
      </c>
      <c r="K57" t="s">
        <v>1223</v>
      </c>
      <c r="L57" t="s">
        <v>1223</v>
      </c>
      <c r="M57" t="s">
        <v>1387</v>
      </c>
      <c r="N57" t="s">
        <v>1526</v>
      </c>
      <c r="O57" t="s">
        <v>1526</v>
      </c>
      <c r="P57" t="s">
        <v>1526</v>
      </c>
      <c r="Q57" t="s">
        <v>1526</v>
      </c>
      <c r="R57" t="s">
        <v>1526</v>
      </c>
      <c r="S57" t="s">
        <v>1526</v>
      </c>
      <c r="T57" t="s">
        <v>1526</v>
      </c>
      <c r="U57" t="s">
        <v>1526</v>
      </c>
      <c r="V57" t="s">
        <v>1526</v>
      </c>
      <c r="W57" t="s">
        <v>1526</v>
      </c>
      <c r="X57" t="s">
        <v>1526</v>
      </c>
      <c r="Y57" t="s">
        <v>1526</v>
      </c>
      <c r="Z57" t="s">
        <v>1526</v>
      </c>
      <c r="AA57" t="s">
        <v>1526</v>
      </c>
      <c r="AB57" t="s">
        <v>1526</v>
      </c>
    </row>
    <row r="58" spans="1:28" ht="18.75" x14ac:dyDescent="0.25">
      <c r="A58" s="6">
        <f t="shared" si="2"/>
        <v>0.69230769230769229</v>
      </c>
      <c r="B58" s="7" t="str">
        <f t="array" aca="1" ref="B58" ca="1">OFFSET(C58,,MATCH(TRUE,C58:AJ58&lt;&gt;"",0)-1)</f>
        <v xml:space="preserve"> Bomba de vacío</v>
      </c>
      <c r="D58" t="s">
        <v>1001</v>
      </c>
      <c r="G58" t="s">
        <v>1001</v>
      </c>
      <c r="I58" t="s">
        <v>1001</v>
      </c>
      <c r="J58" t="s">
        <v>1001</v>
      </c>
      <c r="K58" t="s">
        <v>1224</v>
      </c>
      <c r="L58" t="s">
        <v>1224</v>
      </c>
      <c r="O58" t="s">
        <v>1664</v>
      </c>
      <c r="Q58" t="s">
        <v>1664</v>
      </c>
      <c r="R58" t="s">
        <v>1664</v>
      </c>
      <c r="S58" t="s">
        <v>1664</v>
      </c>
      <c r="T58" t="s">
        <v>1664</v>
      </c>
      <c r="U58" t="s">
        <v>1664</v>
      </c>
      <c r="V58" t="s">
        <v>1664</v>
      </c>
      <c r="W58" t="s">
        <v>1664</v>
      </c>
      <c r="Y58" t="s">
        <v>1664</v>
      </c>
      <c r="Z58" t="s">
        <v>1664</v>
      </c>
      <c r="AA58" t="s">
        <v>1664</v>
      </c>
      <c r="AB58" t="s">
        <v>1664</v>
      </c>
    </row>
    <row r="59" spans="1:28" ht="18.75" x14ac:dyDescent="0.25">
      <c r="A59" s="6">
        <f t="shared" si="2"/>
        <v>1</v>
      </c>
      <c r="B59" s="7" t="str">
        <f t="array" aca="1" ref="B59" ca="1">OFFSET(C59,,MATCH(TRUE,C59:AJ59&lt;&gt;"",0)-1)</f>
        <v xml:space="preserve"> Parte inferior de la llenadora</v>
      </c>
      <c r="C59" t="s">
        <v>845</v>
      </c>
      <c r="D59" t="s">
        <v>845</v>
      </c>
      <c r="E59" t="s">
        <v>845</v>
      </c>
      <c r="F59" t="s">
        <v>845</v>
      </c>
      <c r="G59" t="s">
        <v>845</v>
      </c>
      <c r="H59" t="s">
        <v>1157</v>
      </c>
      <c r="I59" t="s">
        <v>1157</v>
      </c>
      <c r="J59" t="s">
        <v>1157</v>
      </c>
      <c r="K59" t="s">
        <v>1225</v>
      </c>
      <c r="L59" t="s">
        <v>1225</v>
      </c>
      <c r="M59" s="1" t="s">
        <v>1388</v>
      </c>
      <c r="N59" t="s">
        <v>1527</v>
      </c>
      <c r="O59" t="s">
        <v>1527</v>
      </c>
      <c r="P59" t="s">
        <v>1527</v>
      </c>
      <c r="Q59" t="s">
        <v>1527</v>
      </c>
      <c r="R59" t="s">
        <v>1527</v>
      </c>
      <c r="S59" t="s">
        <v>1527</v>
      </c>
      <c r="T59" t="s">
        <v>1527</v>
      </c>
      <c r="U59" t="s">
        <v>1527</v>
      </c>
      <c r="V59" t="s">
        <v>1527</v>
      </c>
      <c r="W59" t="s">
        <v>1527</v>
      </c>
      <c r="X59" t="s">
        <v>1527</v>
      </c>
      <c r="Y59" t="s">
        <v>1527</v>
      </c>
      <c r="Z59" t="s">
        <v>1527</v>
      </c>
      <c r="AA59" t="s">
        <v>1527</v>
      </c>
      <c r="AB59" t="s">
        <v>1527</v>
      </c>
    </row>
    <row r="60" spans="1:28" ht="18.75" x14ac:dyDescent="0.25">
      <c r="A60" s="6">
        <f t="shared" si="2"/>
        <v>1</v>
      </c>
      <c r="B60" s="7" t="str">
        <f t="array" aca="1" ref="B60" ca="1">OFFSET(C60,,MATCH(TRUE,C60:AJ60&lt;&gt;"",0)-1)</f>
        <v xml:space="preserve"> Parte superior de la llenadora</v>
      </c>
      <c r="C60" t="s">
        <v>846</v>
      </c>
      <c r="D60" t="s">
        <v>846</v>
      </c>
      <c r="E60" t="s">
        <v>846</v>
      </c>
      <c r="F60" t="s">
        <v>846</v>
      </c>
      <c r="G60" t="s">
        <v>846</v>
      </c>
      <c r="H60" t="s">
        <v>1158</v>
      </c>
      <c r="I60" t="s">
        <v>1158</v>
      </c>
      <c r="J60" t="s">
        <v>1158</v>
      </c>
      <c r="K60" t="s">
        <v>1226</v>
      </c>
      <c r="L60" t="s">
        <v>1226</v>
      </c>
      <c r="M60" t="s">
        <v>1389</v>
      </c>
      <c r="N60" t="s">
        <v>1528</v>
      </c>
      <c r="O60" t="s">
        <v>1528</v>
      </c>
      <c r="P60" t="s">
        <v>1528</v>
      </c>
      <c r="Q60" t="s">
        <v>1528</v>
      </c>
      <c r="R60" t="s">
        <v>1528</v>
      </c>
      <c r="S60" t="s">
        <v>1528</v>
      </c>
      <c r="T60" t="s">
        <v>1528</v>
      </c>
      <c r="U60" t="s">
        <v>1528</v>
      </c>
      <c r="V60" t="s">
        <v>1528</v>
      </c>
      <c r="W60" t="s">
        <v>1528</v>
      </c>
      <c r="X60" t="s">
        <v>1528</v>
      </c>
      <c r="Y60" t="s">
        <v>1528</v>
      </c>
      <c r="Z60" t="s">
        <v>1528</v>
      </c>
      <c r="AA60" t="s">
        <v>1528</v>
      </c>
      <c r="AB60" t="s">
        <v>1528</v>
      </c>
    </row>
    <row r="61" spans="1:28" ht="18.75" x14ac:dyDescent="0.25">
      <c r="A61" s="6">
        <f t="shared" si="2"/>
        <v>1</v>
      </c>
      <c r="B61" s="7" t="str">
        <f t="array" aca="1" ref="B61" ca="1">OFFSET(C61,,MATCH(TRUE,C61:AJ61&lt;&gt;"",0)-1)</f>
        <v xml:space="preserve"> Válvula de llenado</v>
      </c>
      <c r="C61" t="s">
        <v>847</v>
      </c>
      <c r="D61" t="s">
        <v>847</v>
      </c>
      <c r="E61" t="s">
        <v>847</v>
      </c>
      <c r="F61" t="s">
        <v>847</v>
      </c>
      <c r="G61" t="s">
        <v>1124</v>
      </c>
      <c r="H61" t="s">
        <v>1124</v>
      </c>
      <c r="I61" t="s">
        <v>1124</v>
      </c>
      <c r="J61" t="s">
        <v>1124</v>
      </c>
      <c r="K61" t="s">
        <v>1227</v>
      </c>
      <c r="L61" t="s">
        <v>1351</v>
      </c>
      <c r="M61" t="s">
        <v>1390</v>
      </c>
      <c r="N61" s="1" t="s">
        <v>1529</v>
      </c>
      <c r="O61" t="s">
        <v>1529</v>
      </c>
      <c r="P61" t="s">
        <v>1529</v>
      </c>
      <c r="Q61" t="s">
        <v>1704</v>
      </c>
      <c r="R61" t="s">
        <v>1529</v>
      </c>
      <c r="S61" t="s">
        <v>1529</v>
      </c>
      <c r="T61" t="s">
        <v>1529</v>
      </c>
      <c r="U61" t="s">
        <v>1529</v>
      </c>
      <c r="V61" t="s">
        <v>1529</v>
      </c>
      <c r="W61" t="s">
        <v>1529</v>
      </c>
      <c r="X61" t="s">
        <v>1529</v>
      </c>
      <c r="Y61" t="s">
        <v>1704</v>
      </c>
      <c r="Z61" t="s">
        <v>1704</v>
      </c>
      <c r="AA61" t="s">
        <v>1704</v>
      </c>
      <c r="AB61" t="s">
        <v>1704</v>
      </c>
    </row>
    <row r="62" spans="1:28" ht="18.75" x14ac:dyDescent="0.25">
      <c r="A62" s="6">
        <f t="shared" si="2"/>
        <v>0.46153846153846156</v>
      </c>
      <c r="B62" s="7" t="str">
        <f t="array" aca="1" ref="B62" ca="1">OFFSET(C62,,MATCH(TRUE,C62:AJ62&lt;&gt;"",0)-1)</f>
        <v xml:space="preserve"> Control "Botella reventada"</v>
      </c>
      <c r="C62" t="s">
        <v>848</v>
      </c>
      <c r="D62" t="s">
        <v>1002</v>
      </c>
      <c r="K62" t="s">
        <v>1228</v>
      </c>
      <c r="N62" t="s">
        <v>1530</v>
      </c>
      <c r="O62" t="s">
        <v>1530</v>
      </c>
      <c r="P62" t="s">
        <v>1530</v>
      </c>
      <c r="R62" t="s">
        <v>1530</v>
      </c>
      <c r="S62" t="s">
        <v>1530</v>
      </c>
      <c r="T62" t="s">
        <v>1530</v>
      </c>
      <c r="U62" t="s">
        <v>1530</v>
      </c>
      <c r="V62" t="s">
        <v>1530</v>
      </c>
      <c r="W62" t="s">
        <v>1530</v>
      </c>
    </row>
    <row r="63" spans="1:28" ht="18.75" x14ac:dyDescent="0.25">
      <c r="A63" s="6">
        <f t="shared" si="2"/>
        <v>1</v>
      </c>
      <c r="B63" s="7" t="str">
        <f t="array" aca="1" ref="B63" ca="1">OFFSET(C63,,MATCH(TRUE,C63:AJ63&lt;&gt;"",0)-1)</f>
        <v xml:space="preserve"> Rociado para remoción de fragmentos de vidrio</v>
      </c>
      <c r="C63" t="s">
        <v>849</v>
      </c>
      <c r="D63" t="s">
        <v>1003</v>
      </c>
      <c r="E63" t="s">
        <v>1003</v>
      </c>
      <c r="F63" t="s">
        <v>1003</v>
      </c>
      <c r="G63" t="s">
        <v>849</v>
      </c>
      <c r="H63" t="s">
        <v>849</v>
      </c>
      <c r="I63" t="s">
        <v>849</v>
      </c>
      <c r="J63" t="s">
        <v>849</v>
      </c>
      <c r="K63" t="s">
        <v>1229</v>
      </c>
      <c r="L63" t="s">
        <v>1229</v>
      </c>
      <c r="M63" t="s">
        <v>1391</v>
      </c>
      <c r="N63" t="s">
        <v>1531</v>
      </c>
      <c r="O63" t="s">
        <v>1531</v>
      </c>
      <c r="P63" t="s">
        <v>1531</v>
      </c>
      <c r="Q63" t="s">
        <v>1531</v>
      </c>
      <c r="R63" t="s">
        <v>1531</v>
      </c>
      <c r="S63" t="s">
        <v>1531</v>
      </c>
      <c r="T63" t="s">
        <v>1531</v>
      </c>
      <c r="U63" t="s">
        <v>1531</v>
      </c>
      <c r="V63" t="s">
        <v>1531</v>
      </c>
      <c r="W63" t="s">
        <v>1531</v>
      </c>
      <c r="X63" t="s">
        <v>1531</v>
      </c>
      <c r="Y63" t="s">
        <v>1531</v>
      </c>
      <c r="Z63" t="s">
        <v>1531</v>
      </c>
      <c r="AA63" t="s">
        <v>1531</v>
      </c>
      <c r="AB63" t="s">
        <v>1531</v>
      </c>
    </row>
    <row r="64" spans="1:28" ht="18.75" x14ac:dyDescent="0.25">
      <c r="A64" s="6">
        <f t="shared" si="2"/>
        <v>3.8461538461538436E-2</v>
      </c>
      <c r="B64" s="7" t="str">
        <f t="array" aca="1" ref="B64" ca="1">OFFSET(C64,,MATCH(TRUE,C64:AJ64&lt;&gt;"",0)-1)</f>
        <v xml:space="preserve"> Spraying systems</v>
      </c>
      <c r="AA64" t="s">
        <v>1762</v>
      </c>
    </row>
    <row r="65" spans="1:36" ht="18.75" x14ac:dyDescent="0.25">
      <c r="A65" s="6">
        <f t="shared" si="2"/>
        <v>0.65384615384615385</v>
      </c>
      <c r="B65" s="7" t="str">
        <f t="array" aca="1" ref="B65" ca="1">OFFSET(C65,,MATCH(TRUE,C65:AJ65&lt;&gt;"",0)-1)</f>
        <v xml:space="preserve"> Inyección a alta presión</v>
      </c>
      <c r="D65" t="s">
        <v>1004</v>
      </c>
      <c r="G65" t="s">
        <v>1125</v>
      </c>
      <c r="I65" t="s">
        <v>1125</v>
      </c>
      <c r="J65" t="s">
        <v>1125</v>
      </c>
      <c r="K65" t="s">
        <v>1230</v>
      </c>
      <c r="L65" t="s">
        <v>1352</v>
      </c>
      <c r="O65" t="s">
        <v>1665</v>
      </c>
      <c r="Q65" t="s">
        <v>1665</v>
      </c>
      <c r="R65" t="s">
        <v>1665</v>
      </c>
      <c r="S65" t="s">
        <v>1665</v>
      </c>
      <c r="T65" t="s">
        <v>1665</v>
      </c>
      <c r="U65" t="s">
        <v>1665</v>
      </c>
      <c r="V65" t="s">
        <v>1665</v>
      </c>
      <c r="W65" t="s">
        <v>1665</v>
      </c>
      <c r="Y65" t="s">
        <v>1665</v>
      </c>
      <c r="Z65" t="s">
        <v>1665</v>
      </c>
      <c r="AB65" t="s">
        <v>1665</v>
      </c>
    </row>
    <row r="66" spans="1:36" ht="18.75" x14ac:dyDescent="0.25">
      <c r="A66" s="6">
        <f t="shared" si="2"/>
        <v>0.19230769230769229</v>
      </c>
      <c r="B66" s="7" t="str">
        <f t="array" aca="1" ref="B66" ca="1">OFFSET(C66,,MATCH(TRUE,C66:AJ66&lt;&gt;"",0)-1)</f>
        <v xml:space="preserve"> Rociado de rosca</v>
      </c>
      <c r="E66" t="s">
        <v>1092</v>
      </c>
      <c r="H66" t="s">
        <v>1159</v>
      </c>
      <c r="N66" t="s">
        <v>1532</v>
      </c>
      <c r="Z66" t="s">
        <v>1757</v>
      </c>
      <c r="AA66" t="s">
        <v>1534</v>
      </c>
    </row>
    <row r="67" spans="1:36" ht="18.75" x14ac:dyDescent="0.25">
      <c r="A67" s="6">
        <f t="shared" si="2"/>
        <v>0.96153846153846156</v>
      </c>
      <c r="B67" s="7" t="str">
        <f t="array" aca="1" ref="B67" ca="1">OFFSET(C67,,MATCH(TRUE,C67:AJ67&lt;&gt;"",0)-1)</f>
        <v xml:space="preserve"> Tapadora de tapas corona</v>
      </c>
      <c r="C67" t="s">
        <v>850</v>
      </c>
      <c r="D67" t="s">
        <v>1005</v>
      </c>
      <c r="E67" t="s">
        <v>1093</v>
      </c>
      <c r="F67" t="s">
        <v>1093</v>
      </c>
      <c r="G67" t="s">
        <v>850</v>
      </c>
      <c r="H67" t="s">
        <v>850</v>
      </c>
      <c r="I67" t="s">
        <v>850</v>
      </c>
      <c r="J67" t="s">
        <v>850</v>
      </c>
      <c r="K67" t="s">
        <v>1231</v>
      </c>
      <c r="L67" t="s">
        <v>1231</v>
      </c>
      <c r="M67" t="s">
        <v>1392</v>
      </c>
      <c r="N67" t="s">
        <v>1533</v>
      </c>
      <c r="O67" t="s">
        <v>1533</v>
      </c>
      <c r="Q67" t="s">
        <v>1533</v>
      </c>
      <c r="R67" t="s">
        <v>1533</v>
      </c>
      <c r="S67" t="s">
        <v>1533</v>
      </c>
      <c r="T67" t="s">
        <v>1533</v>
      </c>
      <c r="U67" t="s">
        <v>1533</v>
      </c>
      <c r="V67" t="s">
        <v>1533</v>
      </c>
      <c r="W67" t="s">
        <v>1533</v>
      </c>
      <c r="X67" t="s">
        <v>1534</v>
      </c>
      <c r="Y67" t="s">
        <v>1533</v>
      </c>
      <c r="Z67" t="s">
        <v>1533</v>
      </c>
      <c r="AA67" t="s">
        <v>1537</v>
      </c>
      <c r="AB67" t="s">
        <v>1533</v>
      </c>
    </row>
    <row r="68" spans="1:36" ht="18.75" x14ac:dyDescent="0.25">
      <c r="A68" s="6">
        <f t="shared" si="2"/>
        <v>0.15384615384615385</v>
      </c>
      <c r="B68" s="7" t="str">
        <f t="array" aca="1" ref="B68" ca="1">OFFSET(C68,,MATCH(TRUE,C68:AJ68&lt;&gt;"",0)-1)</f>
        <v xml:space="preserve"> Tapadora de tapas a rosca</v>
      </c>
      <c r="H68" t="s">
        <v>1160</v>
      </c>
      <c r="N68" t="s">
        <v>1534</v>
      </c>
      <c r="P68" t="s">
        <v>1534</v>
      </c>
      <c r="Z68" t="s">
        <v>1534</v>
      </c>
    </row>
    <row r="69" spans="1:36" ht="18.75" x14ac:dyDescent="0.25">
      <c r="A69" s="6">
        <f t="shared" si="2"/>
        <v>0.80769230769230771</v>
      </c>
      <c r="B69" s="7" t="str">
        <f t="array" aca="1" ref="B69" ca="1">OFFSET(C69,,MATCH(TRUE,C69:AJ69&lt;&gt;"",0)-1)</f>
        <v xml:space="preserve"> Ducha de botellas</v>
      </c>
      <c r="C69" t="s">
        <v>851</v>
      </c>
      <c r="D69" t="s">
        <v>851</v>
      </c>
      <c r="E69" t="s">
        <v>851</v>
      </c>
      <c r="G69" t="s">
        <v>851</v>
      </c>
      <c r="H69" t="s">
        <v>851</v>
      </c>
      <c r="I69" t="s">
        <v>851</v>
      </c>
      <c r="J69" t="s">
        <v>851</v>
      </c>
      <c r="K69" t="s">
        <v>1232</v>
      </c>
      <c r="L69" t="s">
        <v>1232</v>
      </c>
      <c r="M69" t="s">
        <v>1394</v>
      </c>
      <c r="N69" t="s">
        <v>1535</v>
      </c>
      <c r="O69" t="s">
        <v>1535</v>
      </c>
      <c r="R69" t="s">
        <v>1535</v>
      </c>
      <c r="S69" t="s">
        <v>1535</v>
      </c>
      <c r="T69" t="s">
        <v>1535</v>
      </c>
      <c r="U69" t="s">
        <v>1535</v>
      </c>
      <c r="V69" t="s">
        <v>1535</v>
      </c>
      <c r="W69" t="s">
        <v>1535</v>
      </c>
      <c r="Y69" t="s">
        <v>1535</v>
      </c>
      <c r="Z69" t="s">
        <v>1535</v>
      </c>
      <c r="AB69" t="s">
        <v>1535</v>
      </c>
    </row>
    <row r="70" spans="1:36" ht="18.75" x14ac:dyDescent="0.25">
      <c r="A70" s="6">
        <f t="shared" si="2"/>
        <v>3.8461538461538436E-2</v>
      </c>
      <c r="B70" s="7" t="str">
        <f t="array" aca="1" ref="B70" ca="1">OFFSET(C70,,MATCH(TRUE,C70:AJ70&lt;&gt;"",0)-1)</f>
        <v xml:space="preserve"> Distributor</v>
      </c>
      <c r="N70" t="s">
        <v>1536</v>
      </c>
    </row>
    <row r="71" spans="1:36" ht="18.75" x14ac:dyDescent="0.25">
      <c r="A71" s="6">
        <f t="shared" ref="A71:A134" si="3">(1-COUNTBLANK(C71:AB71)/COLUMNS(C71:AB71))</f>
        <v>0.61538461538461542</v>
      </c>
      <c r="B71" s="7" t="str">
        <f t="array" aca="1" ref="B71" ca="1">OFFSET(C71,,MATCH(TRUE,C71:AJ71&lt;&gt;"",0)-1)</f>
        <v xml:space="preserve"> Rociado de la tapadora</v>
      </c>
      <c r="C71" t="s">
        <v>852</v>
      </c>
      <c r="D71" t="s">
        <v>1006</v>
      </c>
      <c r="E71" t="s">
        <v>1006</v>
      </c>
      <c r="F71" t="s">
        <v>1006</v>
      </c>
      <c r="K71" t="s">
        <v>1233</v>
      </c>
      <c r="L71" t="s">
        <v>1233</v>
      </c>
      <c r="N71" t="s">
        <v>1537</v>
      </c>
      <c r="O71" t="s">
        <v>1537</v>
      </c>
      <c r="Q71" t="s">
        <v>1537</v>
      </c>
      <c r="R71" t="s">
        <v>1537</v>
      </c>
      <c r="S71" t="s">
        <v>1537</v>
      </c>
      <c r="T71" t="s">
        <v>1537</v>
      </c>
      <c r="U71" t="s">
        <v>1537</v>
      </c>
      <c r="V71" t="s">
        <v>1537</v>
      </c>
      <c r="W71" t="s">
        <v>1537</v>
      </c>
      <c r="Z71" t="s">
        <v>1537</v>
      </c>
    </row>
    <row r="72" spans="1:36" ht="18.75" x14ac:dyDescent="0.25">
      <c r="A72" s="6">
        <f t="shared" si="3"/>
        <v>3.8461538461538436E-2</v>
      </c>
      <c r="B72" s="7" t="str">
        <f t="array" aca="1" ref="B72" ca="1">OFFSET(C72,,MATCH(TRUE,C72:AJ72&lt;&gt;"",0)-1)</f>
        <v xml:space="preserve"> Rociado con agua fresca</v>
      </c>
      <c r="F72" t="s">
        <v>1113</v>
      </c>
    </row>
    <row r="73" spans="1:36" ht="18.75" x14ac:dyDescent="0.25">
      <c r="A73" s="6">
        <f t="shared" si="3"/>
        <v>7.6923076923076872E-2</v>
      </c>
      <c r="B73" s="7" t="str">
        <f t="array" aca="1" ref="B73" ca="1">OFFSET(C73,,MATCH(TRUE,C73:AJ73&lt;&gt;"",0)-1)</f>
        <v xml:space="preserve"> Rociado con agua caliente</v>
      </c>
      <c r="G73" t="s">
        <v>1126</v>
      </c>
      <c r="M73" t="s">
        <v>1393</v>
      </c>
    </row>
    <row r="74" spans="1:36" ht="18.75" x14ac:dyDescent="0.25">
      <c r="A74" s="6">
        <f t="shared" si="3"/>
        <v>0.76923076923076916</v>
      </c>
      <c r="B74" s="7" t="str">
        <f t="array" aca="1" ref="B74" ca="1">OFFSET(C74,,MATCH(TRUE,C74:AJ74&lt;&gt;"",0)-1)</f>
        <v xml:space="preserve"> Rociado con agua</v>
      </c>
      <c r="C74" t="s">
        <v>853</v>
      </c>
      <c r="D74" t="s">
        <v>853</v>
      </c>
      <c r="E74" t="s">
        <v>853</v>
      </c>
      <c r="H74" t="s">
        <v>853</v>
      </c>
      <c r="I74" t="s">
        <v>853</v>
      </c>
      <c r="J74" t="s">
        <v>853</v>
      </c>
      <c r="K74" t="s">
        <v>1234</v>
      </c>
      <c r="L74" t="s">
        <v>1234</v>
      </c>
      <c r="O74" t="s">
        <v>1666</v>
      </c>
      <c r="Q74" t="s">
        <v>1666</v>
      </c>
      <c r="R74" t="s">
        <v>1666</v>
      </c>
      <c r="S74" t="s">
        <v>1666</v>
      </c>
      <c r="T74" t="s">
        <v>1666</v>
      </c>
      <c r="U74" t="s">
        <v>1666</v>
      </c>
      <c r="V74" t="s">
        <v>1666</v>
      </c>
      <c r="W74" t="s">
        <v>1666</v>
      </c>
      <c r="Y74" t="s">
        <v>1666</v>
      </c>
      <c r="Z74" t="s">
        <v>1666</v>
      </c>
      <c r="AA74" t="s">
        <v>1666</v>
      </c>
      <c r="AB74" t="s">
        <v>1666</v>
      </c>
    </row>
    <row r="75" spans="1:36" ht="18.75" x14ac:dyDescent="0.25">
      <c r="A75" s="6">
        <f t="shared" si="3"/>
        <v>0.73076923076923084</v>
      </c>
      <c r="B75" s="7" t="str">
        <f t="array" aca="1" ref="B75" ca="1">OFFSET(C75,,MATCH(TRUE,C75:AJ75&lt;&gt;"",0)-1)</f>
        <v xml:space="preserve"> Limpieza exterior automática</v>
      </c>
      <c r="C75" t="s">
        <v>854</v>
      </c>
      <c r="D75" t="s">
        <v>854</v>
      </c>
      <c r="E75" t="s">
        <v>854</v>
      </c>
      <c r="G75" t="s">
        <v>854</v>
      </c>
      <c r="I75" t="s">
        <v>854</v>
      </c>
      <c r="J75" t="s">
        <v>854</v>
      </c>
      <c r="K75" t="s">
        <v>1235</v>
      </c>
      <c r="L75" t="s">
        <v>1235</v>
      </c>
      <c r="P75" t="s">
        <v>1691</v>
      </c>
      <c r="Q75" t="s">
        <v>1691</v>
      </c>
      <c r="S75" t="s">
        <v>1691</v>
      </c>
      <c r="T75" t="s">
        <v>1691</v>
      </c>
      <c r="U75" t="s">
        <v>1691</v>
      </c>
      <c r="V75" t="s">
        <v>1691</v>
      </c>
      <c r="W75" t="s">
        <v>1691</v>
      </c>
      <c r="X75" t="s">
        <v>1691</v>
      </c>
      <c r="Y75" t="s">
        <v>1691</v>
      </c>
      <c r="Z75" t="s">
        <v>1691</v>
      </c>
      <c r="AA75" t="s">
        <v>1691</v>
      </c>
    </row>
    <row r="76" spans="1:36" ht="18.75" x14ac:dyDescent="0.25">
      <c r="A76" s="6">
        <f t="shared" si="3"/>
        <v>0.26923076923076927</v>
      </c>
      <c r="B76" s="7" t="str">
        <f t="array" aca="1" ref="B76" ca="1">OFFSET(C76,,MATCH(TRUE,C76:AJ76&lt;&gt;"",0)-1)</f>
        <v xml:space="preserve"> Equipo UPS externo</v>
      </c>
      <c r="H76" t="s">
        <v>1161</v>
      </c>
      <c r="I76" t="s">
        <v>1161</v>
      </c>
      <c r="J76" t="s">
        <v>1161</v>
      </c>
      <c r="L76" t="s">
        <v>1330</v>
      </c>
      <c r="U76" t="s">
        <v>1641</v>
      </c>
      <c r="V76" t="s">
        <v>1641</v>
      </c>
      <c r="Y76" t="s">
        <v>1641</v>
      </c>
    </row>
    <row r="77" spans="1:36" ht="18.75" x14ac:dyDescent="0.25">
      <c r="A77" s="6">
        <f t="shared" si="3"/>
        <v>3.8461538461538436E-2</v>
      </c>
      <c r="B77" s="7" t="str">
        <f t="array" aca="1" ref="B77" ca="1">OFFSET(C77,,MATCH(TRUE,C77:AJ77&lt;&gt;"",0)-1)</f>
        <v xml:space="preserve"> Redis Single</v>
      </c>
      <c r="M77" t="s">
        <v>1395</v>
      </c>
    </row>
    <row r="78" spans="1:36" ht="18.75" x14ac:dyDescent="0.25">
      <c r="A78" s="6">
        <f t="shared" si="3"/>
        <v>1</v>
      </c>
      <c r="B78" s="7" t="str">
        <f t="array" aca="1" ref="B78" ca="1">OFFSET(C78,,MATCH(TRUE,C78:AJ78&lt;&gt;"",0)-1)</f>
        <v xml:space="preserve"> Lugares de trabajo</v>
      </c>
      <c r="C78" t="s">
        <v>856</v>
      </c>
      <c r="D78" t="s">
        <v>1007</v>
      </c>
      <c r="E78" t="s">
        <v>1094</v>
      </c>
      <c r="F78" t="s">
        <v>1007</v>
      </c>
      <c r="G78" t="s">
        <v>1127</v>
      </c>
      <c r="H78" t="s">
        <v>1162</v>
      </c>
      <c r="I78" t="s">
        <v>1162</v>
      </c>
      <c r="J78" t="s">
        <v>1162</v>
      </c>
      <c r="K78" t="s">
        <v>1236</v>
      </c>
      <c r="L78" t="s">
        <v>1236</v>
      </c>
      <c r="M78" t="s">
        <v>1396</v>
      </c>
      <c r="N78" t="s">
        <v>1539</v>
      </c>
      <c r="O78" t="s">
        <v>1667</v>
      </c>
      <c r="P78" t="s">
        <v>1539</v>
      </c>
      <c r="Q78" t="s">
        <v>1667</v>
      </c>
      <c r="R78" t="s">
        <v>1667</v>
      </c>
      <c r="S78" t="s">
        <v>1667</v>
      </c>
      <c r="T78" t="s">
        <v>1667</v>
      </c>
      <c r="U78" t="s">
        <v>1667</v>
      </c>
      <c r="V78" t="s">
        <v>1667</v>
      </c>
      <c r="W78" t="s">
        <v>1667</v>
      </c>
      <c r="X78" t="s">
        <v>1667</v>
      </c>
      <c r="Y78" t="s">
        <v>1667</v>
      </c>
      <c r="Z78" t="s">
        <v>1667</v>
      </c>
      <c r="AA78" t="s">
        <v>1667</v>
      </c>
      <c r="AB78" t="s">
        <v>1667</v>
      </c>
      <c r="AD78" s="1"/>
      <c r="AE78" s="1"/>
      <c r="AF78" s="1"/>
      <c r="AG78" s="1"/>
      <c r="AH78" s="1"/>
      <c r="AI78" s="1"/>
      <c r="AJ78" s="1"/>
    </row>
    <row r="79" spans="1:36" ht="18.75" x14ac:dyDescent="0.25">
      <c r="A79" s="6">
        <f t="shared" si="3"/>
        <v>1</v>
      </c>
      <c r="B79" s="7" t="str">
        <f t="array" aca="1" ref="B79" ca="1">OFFSET(C79,,MATCH(TRUE,C79:AJ79&lt;&gt;"",0)-1)</f>
        <v xml:space="preserve"> Dispositivos de aviso</v>
      </c>
      <c r="C79" t="s">
        <v>855</v>
      </c>
      <c r="D79" t="s">
        <v>1008</v>
      </c>
      <c r="E79" t="s">
        <v>1008</v>
      </c>
      <c r="F79" t="s">
        <v>1008</v>
      </c>
      <c r="G79" t="s">
        <v>855</v>
      </c>
      <c r="H79" t="s">
        <v>855</v>
      </c>
      <c r="I79" t="s">
        <v>855</v>
      </c>
      <c r="J79" t="s">
        <v>855</v>
      </c>
      <c r="K79" t="s">
        <v>855</v>
      </c>
      <c r="L79" t="s">
        <v>855</v>
      </c>
      <c r="M79" s="1" t="s">
        <v>855</v>
      </c>
      <c r="N79" t="s">
        <v>1538</v>
      </c>
      <c r="O79" t="s">
        <v>1538</v>
      </c>
      <c r="P79" t="s">
        <v>1538</v>
      </c>
      <c r="Q79" t="s">
        <v>1538</v>
      </c>
      <c r="R79" t="s">
        <v>1538</v>
      </c>
      <c r="S79" t="s">
        <v>1538</v>
      </c>
      <c r="T79" t="s">
        <v>1538</v>
      </c>
      <c r="U79" t="s">
        <v>1538</v>
      </c>
      <c r="V79" t="s">
        <v>1538</v>
      </c>
      <c r="W79" t="s">
        <v>1538</v>
      </c>
      <c r="X79" t="s">
        <v>1538</v>
      </c>
      <c r="Y79" t="s">
        <v>1538</v>
      </c>
      <c r="Z79" t="s">
        <v>1538</v>
      </c>
      <c r="AA79" t="s">
        <v>1538</v>
      </c>
      <c r="AB79" t="s">
        <v>1538</v>
      </c>
    </row>
    <row r="80" spans="1:36" ht="18.75" x14ac:dyDescent="0.25">
      <c r="A80" s="6">
        <f t="shared" si="3"/>
        <v>0.11538461538461542</v>
      </c>
      <c r="B80" s="7" t="str">
        <f t="array" aca="1" ref="B80" ca="1">OFFSET(C80,,MATCH(TRUE,C80:AJ80&lt;&gt;"",0)-1)</f>
        <v xml:space="preserve"> Dispositivos de mando</v>
      </c>
      <c r="C80" t="s">
        <v>857</v>
      </c>
      <c r="N80" t="s">
        <v>1540</v>
      </c>
      <c r="P80" t="s">
        <v>1540</v>
      </c>
    </row>
    <row r="81" spans="1:36" ht="18.75" x14ac:dyDescent="0.25">
      <c r="A81" s="6">
        <f t="shared" si="3"/>
        <v>0.57692307692307687</v>
      </c>
      <c r="B81" s="7" t="str">
        <f t="array" aca="1" ref="B81" ca="1">OFFSET(C81,,MATCH(TRUE,C81:AJ81&lt;&gt;"",0)-1)</f>
        <v xml:space="preserve"> Panel de mando</v>
      </c>
      <c r="C81" t="s">
        <v>858</v>
      </c>
      <c r="D81" t="s">
        <v>1009</v>
      </c>
      <c r="E81" t="s">
        <v>1009</v>
      </c>
      <c r="K81" t="s">
        <v>1237</v>
      </c>
      <c r="M81" t="s">
        <v>1406</v>
      </c>
      <c r="N81" t="s">
        <v>1541</v>
      </c>
      <c r="O81" t="s">
        <v>1541</v>
      </c>
      <c r="P81" t="s">
        <v>1541</v>
      </c>
      <c r="R81" t="s">
        <v>1541</v>
      </c>
      <c r="S81" t="s">
        <v>1541</v>
      </c>
      <c r="T81" t="s">
        <v>1541</v>
      </c>
      <c r="U81" t="s">
        <v>1541</v>
      </c>
      <c r="V81" t="s">
        <v>1541</v>
      </c>
      <c r="W81" t="s">
        <v>1541</v>
      </c>
      <c r="X81" t="s">
        <v>1541</v>
      </c>
    </row>
    <row r="82" spans="1:36" ht="18.75" x14ac:dyDescent="0.25">
      <c r="A82" s="6">
        <f t="shared" si="3"/>
        <v>0.46153846153846156</v>
      </c>
      <c r="B82" s="7" t="str">
        <f t="array" aca="1" ref="B82" ca="1">OFFSET(C82,,MATCH(TRUE,C82:AJ82&lt;&gt;"",0)-1)</f>
        <v xml:space="preserve"> Lado delantero</v>
      </c>
      <c r="D82" t="s">
        <v>1010</v>
      </c>
      <c r="E82" t="s">
        <v>1010</v>
      </c>
      <c r="G82" t="s">
        <v>1128</v>
      </c>
      <c r="K82" t="s">
        <v>1238</v>
      </c>
      <c r="O82" t="s">
        <v>1668</v>
      </c>
      <c r="R82" t="s">
        <v>1668</v>
      </c>
      <c r="S82" t="s">
        <v>1668</v>
      </c>
      <c r="T82" t="s">
        <v>1668</v>
      </c>
      <c r="U82" t="s">
        <v>1668</v>
      </c>
      <c r="V82" t="s">
        <v>1668</v>
      </c>
      <c r="W82" t="s">
        <v>1668</v>
      </c>
      <c r="X82" t="s">
        <v>1668</v>
      </c>
      <c r="AC82" s="1"/>
    </row>
    <row r="83" spans="1:36" ht="18.75" x14ac:dyDescent="0.25">
      <c r="A83" s="6">
        <f t="shared" si="3"/>
        <v>0.42307692307692313</v>
      </c>
      <c r="B83" s="7" t="str">
        <f t="array" aca="1" ref="B83" ca="1">OFFSET(C83,,MATCH(TRUE,C83:AJ83&lt;&gt;"",0)-1)</f>
        <v xml:space="preserve"> Parte posterior</v>
      </c>
      <c r="D83" t="s">
        <v>1011</v>
      </c>
      <c r="E83" t="s">
        <v>1011</v>
      </c>
      <c r="K83" t="s">
        <v>1239</v>
      </c>
      <c r="O83" t="s">
        <v>1669</v>
      </c>
      <c r="R83" t="s">
        <v>1669</v>
      </c>
      <c r="S83" t="s">
        <v>1669</v>
      </c>
      <c r="T83" t="s">
        <v>1669</v>
      </c>
      <c r="U83" t="s">
        <v>1669</v>
      </c>
      <c r="V83" t="s">
        <v>1669</v>
      </c>
      <c r="W83" t="s">
        <v>1669</v>
      </c>
      <c r="X83" t="s">
        <v>1669</v>
      </c>
    </row>
    <row r="84" spans="1:36" ht="18.75" x14ac:dyDescent="0.25">
      <c r="A84" s="6">
        <f t="shared" si="3"/>
        <v>0.53846153846153844</v>
      </c>
      <c r="B84" s="7" t="str">
        <f t="array" aca="1" ref="B84" ca="1">OFFSET(C84,,MATCH(TRUE,C84:AJ84&lt;&gt;"",0)-1)</f>
        <v xml:space="preserve"> Interfaz de operación gráfica</v>
      </c>
      <c r="C84" t="s">
        <v>859</v>
      </c>
      <c r="D84" t="s">
        <v>1012</v>
      </c>
      <c r="E84" t="s">
        <v>1012</v>
      </c>
      <c r="K84" t="s">
        <v>1240</v>
      </c>
      <c r="N84" t="s">
        <v>1542</v>
      </c>
      <c r="O84" t="s">
        <v>1542</v>
      </c>
      <c r="P84" t="s">
        <v>1542</v>
      </c>
      <c r="R84" t="s">
        <v>1542</v>
      </c>
      <c r="S84" t="s">
        <v>1542</v>
      </c>
      <c r="T84" t="s">
        <v>1542</v>
      </c>
      <c r="U84" t="s">
        <v>1542</v>
      </c>
      <c r="V84" t="s">
        <v>1542</v>
      </c>
      <c r="W84" t="s">
        <v>1542</v>
      </c>
      <c r="X84" t="s">
        <v>1542</v>
      </c>
    </row>
    <row r="85" spans="1:36" ht="18.75" x14ac:dyDescent="0.25">
      <c r="A85" s="6">
        <f t="shared" si="3"/>
        <v>0.57692307692307687</v>
      </c>
      <c r="B85" s="7" t="str">
        <f t="array" aca="1" ref="B85" ca="1">OFFSET(C85,,MATCH(TRUE,C85:AJ85&lt;&gt;"",0)-1)</f>
        <v xml:space="preserve"> Ventana principal</v>
      </c>
      <c r="C85" t="s">
        <v>860</v>
      </c>
      <c r="D85" t="s">
        <v>860</v>
      </c>
      <c r="E85" t="s">
        <v>860</v>
      </c>
      <c r="G85" t="s">
        <v>1129</v>
      </c>
      <c r="K85" t="s">
        <v>1241</v>
      </c>
      <c r="N85" t="s">
        <v>1543</v>
      </c>
      <c r="O85" t="s">
        <v>1543</v>
      </c>
      <c r="P85" t="s">
        <v>1543</v>
      </c>
      <c r="R85" t="s">
        <v>1543</v>
      </c>
      <c r="S85" t="s">
        <v>1543</v>
      </c>
      <c r="T85" t="s">
        <v>1543</v>
      </c>
      <c r="U85" t="s">
        <v>1543</v>
      </c>
      <c r="V85" t="s">
        <v>1543</v>
      </c>
      <c r="W85" t="s">
        <v>1543</v>
      </c>
      <c r="X85" t="s">
        <v>1543</v>
      </c>
    </row>
    <row r="86" spans="1:36" ht="18.75" x14ac:dyDescent="0.25">
      <c r="A86" s="6">
        <f t="shared" si="3"/>
        <v>0.57692307692307687</v>
      </c>
      <c r="B86" s="7" t="str">
        <f t="array" aca="1" ref="B86" ca="1">OFFSET(C86,,MATCH(TRUE,C86:AJ86&lt;&gt;"",0)-1)</f>
        <v xml:space="preserve"> Favoritos</v>
      </c>
      <c r="C86" t="s">
        <v>861</v>
      </c>
      <c r="D86" t="s">
        <v>861</v>
      </c>
      <c r="E86" t="s">
        <v>861</v>
      </c>
      <c r="G86" t="s">
        <v>1130</v>
      </c>
      <c r="K86" t="s">
        <v>861</v>
      </c>
      <c r="N86" t="s">
        <v>1544</v>
      </c>
      <c r="O86" t="s">
        <v>1544</v>
      </c>
      <c r="P86" t="s">
        <v>1544</v>
      </c>
      <c r="R86" t="s">
        <v>1544</v>
      </c>
      <c r="S86" t="s">
        <v>1544</v>
      </c>
      <c r="T86" t="s">
        <v>1544</v>
      </c>
      <c r="U86" t="s">
        <v>1544</v>
      </c>
      <c r="V86" t="s">
        <v>1544</v>
      </c>
      <c r="W86" t="s">
        <v>1544</v>
      </c>
      <c r="X86" t="s">
        <v>1544</v>
      </c>
    </row>
    <row r="87" spans="1:36" ht="18.75" x14ac:dyDescent="0.25">
      <c r="A87" s="6">
        <f t="shared" si="3"/>
        <v>0.57692307692307687</v>
      </c>
      <c r="B87" s="7" t="str">
        <f t="array" aca="1" ref="B87" ca="1">OFFSET(C87,,MATCH(TRUE,C87:AJ87&lt;&gt;"",0)-1)</f>
        <v xml:space="preserve"> Inicio y cierre de sesión</v>
      </c>
      <c r="C87" t="s">
        <v>862</v>
      </c>
      <c r="D87" t="s">
        <v>862</v>
      </c>
      <c r="E87" t="s">
        <v>862</v>
      </c>
      <c r="G87" s="1" t="s">
        <v>1131</v>
      </c>
      <c r="K87" t="s">
        <v>1242</v>
      </c>
      <c r="N87" t="s">
        <v>1545</v>
      </c>
      <c r="O87" t="s">
        <v>1545</v>
      </c>
      <c r="P87" t="s">
        <v>1545</v>
      </c>
      <c r="R87" t="s">
        <v>1545</v>
      </c>
      <c r="S87" t="s">
        <v>1545</v>
      </c>
      <c r="T87" t="s">
        <v>1545</v>
      </c>
      <c r="U87" t="s">
        <v>1545</v>
      </c>
      <c r="V87" t="s">
        <v>1545</v>
      </c>
      <c r="W87" t="s">
        <v>1545</v>
      </c>
      <c r="X87" t="s">
        <v>1545</v>
      </c>
    </row>
    <row r="88" spans="1:36" ht="18.75" x14ac:dyDescent="0.25">
      <c r="A88" s="6">
        <f t="shared" si="3"/>
        <v>0.57692307692307687</v>
      </c>
      <c r="B88" s="7" t="str">
        <f t="array" aca="1" ref="B88" ca="1">OFFSET(C88,,MATCH(TRUE,C88:AJ88&lt;&gt;"",0)-1)</f>
        <v xml:space="preserve"> Menú principal</v>
      </c>
      <c r="C88" t="s">
        <v>863</v>
      </c>
      <c r="D88" t="s">
        <v>863</v>
      </c>
      <c r="E88" t="s">
        <v>863</v>
      </c>
      <c r="G88" t="s">
        <v>864</v>
      </c>
      <c r="K88" t="s">
        <v>1243</v>
      </c>
      <c r="N88" t="s">
        <v>1546</v>
      </c>
      <c r="O88" t="s">
        <v>1546</v>
      </c>
      <c r="P88" t="s">
        <v>1546</v>
      </c>
      <c r="R88" t="s">
        <v>1546</v>
      </c>
      <c r="S88" t="s">
        <v>1546</v>
      </c>
      <c r="T88" t="s">
        <v>1546</v>
      </c>
      <c r="U88" t="s">
        <v>1546</v>
      </c>
      <c r="V88" t="s">
        <v>1546</v>
      </c>
      <c r="W88" t="s">
        <v>1546</v>
      </c>
      <c r="X88" t="s">
        <v>1546</v>
      </c>
      <c r="AD88" s="1"/>
      <c r="AE88" s="1"/>
      <c r="AF88" s="1"/>
      <c r="AG88" s="1"/>
      <c r="AH88" s="1"/>
      <c r="AI88" s="1"/>
      <c r="AJ88" s="1"/>
    </row>
    <row r="89" spans="1:36" ht="18.75" x14ac:dyDescent="0.25">
      <c r="A89" s="6">
        <f t="shared" si="3"/>
        <v>0.57692307692307687</v>
      </c>
      <c r="B89" s="7" t="str">
        <f t="array" aca="1" ref="B89" ca="1">OFFSET(C89,,MATCH(TRUE,C89:AJ89&lt;&gt;"",0)-1)</f>
        <v xml:space="preserve"> Máquina llenadora completa</v>
      </c>
      <c r="C89" t="s">
        <v>864</v>
      </c>
      <c r="D89" t="s">
        <v>1013</v>
      </c>
      <c r="E89" t="s">
        <v>1095</v>
      </c>
      <c r="G89" t="s">
        <v>865</v>
      </c>
      <c r="K89" t="s">
        <v>1244</v>
      </c>
      <c r="N89" t="s">
        <v>1547</v>
      </c>
      <c r="O89" t="s">
        <v>1547</v>
      </c>
      <c r="P89" t="s">
        <v>1547</v>
      </c>
      <c r="R89" t="s">
        <v>1547</v>
      </c>
      <c r="S89" t="s">
        <v>1547</v>
      </c>
      <c r="T89" t="s">
        <v>1547</v>
      </c>
      <c r="U89" t="s">
        <v>1547</v>
      </c>
      <c r="V89" t="s">
        <v>1547</v>
      </c>
      <c r="W89" t="s">
        <v>1547</v>
      </c>
      <c r="X89" t="s">
        <v>1547</v>
      </c>
    </row>
    <row r="90" spans="1:36" ht="18.75" x14ac:dyDescent="0.25">
      <c r="A90" s="6">
        <f t="shared" si="3"/>
        <v>0.53846153846153844</v>
      </c>
      <c r="B90" s="7" t="str">
        <f t="array" aca="1" ref="B90" ca="1">OFFSET(C90,,MATCH(TRUE,C90:AJ90&lt;&gt;"",0)-1)</f>
        <v xml:space="preserve"> Llenadora</v>
      </c>
      <c r="C90" t="s">
        <v>865</v>
      </c>
      <c r="D90" t="s">
        <v>865</v>
      </c>
      <c r="E90" t="s">
        <v>865</v>
      </c>
      <c r="K90" t="s">
        <v>1245</v>
      </c>
      <c r="N90" t="s">
        <v>1548</v>
      </c>
      <c r="O90" t="s">
        <v>1548</v>
      </c>
      <c r="P90" t="s">
        <v>1548</v>
      </c>
      <c r="R90" t="s">
        <v>1548</v>
      </c>
      <c r="S90" t="s">
        <v>1548</v>
      </c>
      <c r="T90" t="s">
        <v>1548</v>
      </c>
      <c r="U90" t="s">
        <v>1548</v>
      </c>
      <c r="V90" t="s">
        <v>1548</v>
      </c>
      <c r="W90" t="s">
        <v>1548</v>
      </c>
      <c r="X90" t="s">
        <v>1548</v>
      </c>
    </row>
    <row r="91" spans="1:36" ht="18.75" x14ac:dyDescent="0.25">
      <c r="A91" s="6">
        <f t="shared" si="3"/>
        <v>3.8461538461538436E-2</v>
      </c>
      <c r="B91" s="7" t="str">
        <f t="array" aca="1" ref="B91" ca="1">OFFSET(C91,,MATCH(TRUE,C91:AJ91&lt;&gt;"",0)-1)</f>
        <v xml:space="preserve"> Enjuagadora</v>
      </c>
      <c r="G91" t="s">
        <v>1117</v>
      </c>
    </row>
    <row r="92" spans="1:36" ht="18.75" x14ac:dyDescent="0.25">
      <c r="A92" s="6">
        <f t="shared" si="3"/>
        <v>0.57692307692307687</v>
      </c>
      <c r="B92" s="7" t="str">
        <f t="array" aca="1" ref="B92" ca="1">OFFSET(C92,,MATCH(TRUE,C92:AJ92&lt;&gt;"",0)-1)</f>
        <v xml:space="preserve"> Tapadora</v>
      </c>
      <c r="C92" t="s">
        <v>866</v>
      </c>
      <c r="D92" t="s">
        <v>1014</v>
      </c>
      <c r="E92" t="s">
        <v>1096</v>
      </c>
      <c r="G92" t="s">
        <v>866</v>
      </c>
      <c r="K92" t="s">
        <v>1246</v>
      </c>
      <c r="N92" t="s">
        <v>1549</v>
      </c>
      <c r="O92" t="s">
        <v>1670</v>
      </c>
      <c r="P92" t="s">
        <v>1692</v>
      </c>
      <c r="R92" t="s">
        <v>1670</v>
      </c>
      <c r="S92" t="s">
        <v>1692</v>
      </c>
      <c r="T92" t="s">
        <v>1692</v>
      </c>
      <c r="U92" t="s">
        <v>1670</v>
      </c>
      <c r="V92" t="s">
        <v>1692</v>
      </c>
      <c r="W92" t="s">
        <v>1692</v>
      </c>
      <c r="X92" t="s">
        <v>1692</v>
      </c>
    </row>
    <row r="93" spans="1:36" ht="18.75" x14ac:dyDescent="0.25">
      <c r="A93" s="6">
        <f t="shared" si="3"/>
        <v>3.8461538461538436E-2</v>
      </c>
      <c r="B93" s="7" t="str">
        <f t="array" aca="1" ref="B93" ca="1">OFFSET(C93,,MATCH(TRUE,C93:AJ93&lt;&gt;"",0)-1)</f>
        <v xml:space="preserve"> Capper 2</v>
      </c>
      <c r="N93" t="s">
        <v>1550</v>
      </c>
      <c r="AC93" s="1"/>
    </row>
    <row r="94" spans="1:36" ht="18.75" x14ac:dyDescent="0.25">
      <c r="A94" s="6">
        <f t="shared" si="3"/>
        <v>0.11538461538461542</v>
      </c>
      <c r="B94" s="7" t="str">
        <f t="array" aca="1" ref="B94" ca="1">OFFSET(C94,,MATCH(TRUE,C94:AJ94&lt;&gt;"",0)-1)</f>
        <v xml:space="preserve"> Acceso remoto Remote Diagnostic Service (ReDiS)</v>
      </c>
      <c r="C94" t="s">
        <v>867</v>
      </c>
      <c r="N94" t="s">
        <v>1551</v>
      </c>
      <c r="P94" t="s">
        <v>1551</v>
      </c>
    </row>
    <row r="95" spans="1:36" ht="18.75" x14ac:dyDescent="0.25">
      <c r="A95" s="6">
        <f t="shared" si="3"/>
        <v>0.73076923076923084</v>
      </c>
      <c r="B95" s="7" t="str">
        <f t="array" aca="1" ref="B95" ca="1">OFFSET(C95,,MATCH(TRUE,C95:AJ95&lt;&gt;"",0)-1)</f>
        <v xml:space="preserve"> Tecnología de medición, control y regulación</v>
      </c>
      <c r="C95" t="s">
        <v>868</v>
      </c>
      <c r="D95" t="s">
        <v>868</v>
      </c>
      <c r="E95" t="s">
        <v>868</v>
      </c>
      <c r="F95" t="s">
        <v>868</v>
      </c>
      <c r="H95" t="s">
        <v>868</v>
      </c>
      <c r="K95" t="s">
        <v>1247</v>
      </c>
      <c r="N95" t="s">
        <v>1552</v>
      </c>
      <c r="O95" t="s">
        <v>1552</v>
      </c>
      <c r="P95" t="s">
        <v>1552</v>
      </c>
      <c r="Q95" t="s">
        <v>1552</v>
      </c>
      <c r="R95" t="s">
        <v>1552</v>
      </c>
      <c r="S95" t="s">
        <v>1552</v>
      </c>
      <c r="T95" t="s">
        <v>1552</v>
      </c>
      <c r="U95" t="s">
        <v>1552</v>
      </c>
      <c r="V95" t="s">
        <v>1552</v>
      </c>
      <c r="W95" t="s">
        <v>1552</v>
      </c>
      <c r="X95" t="s">
        <v>1552</v>
      </c>
      <c r="Z95" t="s">
        <v>1552</v>
      </c>
      <c r="AB95" t="s">
        <v>1552</v>
      </c>
    </row>
    <row r="96" spans="1:36" ht="18.75" x14ac:dyDescent="0.25">
      <c r="A96" s="6">
        <f t="shared" si="3"/>
        <v>0.73076923076923084</v>
      </c>
      <c r="B96" s="7" t="str">
        <f t="array" aca="1" ref="B96" ca="1">OFFSET(C96,,MATCH(TRUE,C96:AJ96&lt;&gt;"",0)-1)</f>
        <v xml:space="preserve"> Armario de distribución</v>
      </c>
      <c r="C96" t="s">
        <v>869</v>
      </c>
      <c r="D96" t="s">
        <v>869</v>
      </c>
      <c r="E96" t="s">
        <v>869</v>
      </c>
      <c r="F96" t="s">
        <v>869</v>
      </c>
      <c r="H96" t="s">
        <v>869</v>
      </c>
      <c r="K96" t="s">
        <v>1248</v>
      </c>
      <c r="N96" t="s">
        <v>1553</v>
      </c>
      <c r="O96" t="s">
        <v>1553</v>
      </c>
      <c r="P96" t="s">
        <v>1553</v>
      </c>
      <c r="Q96" t="s">
        <v>1553</v>
      </c>
      <c r="R96" t="s">
        <v>1553</v>
      </c>
      <c r="S96" t="s">
        <v>1553</v>
      </c>
      <c r="T96" t="s">
        <v>1553</v>
      </c>
      <c r="U96" t="s">
        <v>1553</v>
      </c>
      <c r="V96" t="s">
        <v>1553</v>
      </c>
      <c r="W96" t="s">
        <v>1553</v>
      </c>
      <c r="X96" t="s">
        <v>1553</v>
      </c>
      <c r="Z96" t="s">
        <v>1553</v>
      </c>
      <c r="AB96" t="s">
        <v>1553</v>
      </c>
    </row>
    <row r="97" spans="1:28" ht="18.75" x14ac:dyDescent="0.25">
      <c r="A97" s="6">
        <f t="shared" si="3"/>
        <v>0.73076923076923084</v>
      </c>
      <c r="B97" s="7" t="str">
        <f t="array" aca="1" ref="B97" ca="1">OFFSET(C97,,MATCH(TRUE,C97:AJ97&lt;&gt;"",0)-1)</f>
        <v xml:space="preserve"> Tecnología de medición</v>
      </c>
      <c r="C97" t="s">
        <v>870</v>
      </c>
      <c r="D97" t="s">
        <v>1015</v>
      </c>
      <c r="E97" t="s">
        <v>1015</v>
      </c>
      <c r="F97" t="s">
        <v>1015</v>
      </c>
      <c r="H97" t="s">
        <v>870</v>
      </c>
      <c r="K97" t="s">
        <v>1249</v>
      </c>
      <c r="N97" t="s">
        <v>1554</v>
      </c>
      <c r="O97" t="s">
        <v>1554</v>
      </c>
      <c r="P97" t="s">
        <v>1554</v>
      </c>
      <c r="Q97" t="s">
        <v>1554</v>
      </c>
      <c r="R97" t="s">
        <v>1554</v>
      </c>
      <c r="S97" t="s">
        <v>1554</v>
      </c>
      <c r="T97" t="s">
        <v>1554</v>
      </c>
      <c r="U97" t="s">
        <v>1554</v>
      </c>
      <c r="V97" t="s">
        <v>1554</v>
      </c>
      <c r="W97" t="s">
        <v>1554</v>
      </c>
      <c r="X97" t="s">
        <v>1554</v>
      </c>
      <c r="Z97" t="s">
        <v>1554</v>
      </c>
      <c r="AB97" t="s">
        <v>1554</v>
      </c>
    </row>
    <row r="98" spans="1:28" ht="18.75" x14ac:dyDescent="0.25">
      <c r="A98" s="6">
        <f t="shared" si="3"/>
        <v>0.73076923076923084</v>
      </c>
      <c r="B98" s="7" t="str">
        <f t="array" aca="1" ref="B98" ca="1">OFFSET(C98,,MATCH(TRUE,C98:AJ98&lt;&gt;"",0)-1)</f>
        <v xml:space="preserve"> Tecnología de control</v>
      </c>
      <c r="C98" t="s">
        <v>871</v>
      </c>
      <c r="D98" t="s">
        <v>1016</v>
      </c>
      <c r="E98" s="1" t="s">
        <v>1016</v>
      </c>
      <c r="F98" t="s">
        <v>1016</v>
      </c>
      <c r="H98" t="s">
        <v>871</v>
      </c>
      <c r="K98" t="s">
        <v>1250</v>
      </c>
      <c r="N98" t="s">
        <v>1555</v>
      </c>
      <c r="O98" t="s">
        <v>1555</v>
      </c>
      <c r="P98" t="s">
        <v>1555</v>
      </c>
      <c r="Q98" t="s">
        <v>1555</v>
      </c>
      <c r="R98" t="s">
        <v>1555</v>
      </c>
      <c r="S98" t="s">
        <v>1555</v>
      </c>
      <c r="T98" t="s">
        <v>1555</v>
      </c>
      <c r="U98" s="1" t="s">
        <v>1555</v>
      </c>
      <c r="V98" s="1" t="s">
        <v>1555</v>
      </c>
      <c r="W98" t="s">
        <v>1555</v>
      </c>
      <c r="X98" t="s">
        <v>1555</v>
      </c>
      <c r="Z98" t="s">
        <v>1555</v>
      </c>
      <c r="AB98" t="s">
        <v>1555</v>
      </c>
    </row>
    <row r="99" spans="1:28" ht="18.75" x14ac:dyDescent="0.25">
      <c r="A99" s="6">
        <f t="shared" si="3"/>
        <v>0.73076923076923084</v>
      </c>
      <c r="B99" s="7" t="str">
        <f t="array" aca="1" ref="B99" ca="1">OFFSET(C99,,MATCH(TRUE,C99:AJ99&lt;&gt;"",0)-1)</f>
        <v xml:space="preserve"> Tecnología de regulación</v>
      </c>
      <c r="C99" t="s">
        <v>872</v>
      </c>
      <c r="D99" s="1" t="s">
        <v>1017</v>
      </c>
      <c r="E99" t="s">
        <v>1017</v>
      </c>
      <c r="F99" t="s">
        <v>1017</v>
      </c>
      <c r="H99" t="s">
        <v>872</v>
      </c>
      <c r="K99" t="s">
        <v>1251</v>
      </c>
      <c r="N99" t="s">
        <v>1556</v>
      </c>
      <c r="O99" t="s">
        <v>1556</v>
      </c>
      <c r="P99" t="s">
        <v>1556</v>
      </c>
      <c r="Q99" t="s">
        <v>1556</v>
      </c>
      <c r="R99" t="s">
        <v>1556</v>
      </c>
      <c r="S99" s="1" t="s">
        <v>1556</v>
      </c>
      <c r="T99" s="1" t="s">
        <v>1556</v>
      </c>
      <c r="U99" t="s">
        <v>1556</v>
      </c>
      <c r="V99" t="s">
        <v>1556</v>
      </c>
      <c r="W99" s="1" t="s">
        <v>1556</v>
      </c>
      <c r="X99" t="s">
        <v>1556</v>
      </c>
      <c r="Z99" t="s">
        <v>1556</v>
      </c>
      <c r="AB99" t="s">
        <v>1556</v>
      </c>
    </row>
    <row r="100" spans="1:28" ht="18.75" x14ac:dyDescent="0.25">
      <c r="A100" s="6">
        <f t="shared" si="3"/>
        <v>0.73076923076923084</v>
      </c>
      <c r="B100" s="7" t="str">
        <f t="array" aca="1" ref="B100" ca="1">OFFSET(C100,,MATCH(TRUE,C100:AJ100&lt;&gt;"",0)-1)</f>
        <v xml:space="preserve"> Sistema neumático</v>
      </c>
      <c r="C100" t="s">
        <v>873</v>
      </c>
      <c r="D100" t="s">
        <v>873</v>
      </c>
      <c r="E100" t="s">
        <v>873</v>
      </c>
      <c r="F100" t="s">
        <v>873</v>
      </c>
      <c r="H100" t="s">
        <v>873</v>
      </c>
      <c r="K100" s="1" t="s">
        <v>1252</v>
      </c>
      <c r="N100" s="1" t="s">
        <v>1557</v>
      </c>
      <c r="O100" t="s">
        <v>1557</v>
      </c>
      <c r="P100" s="1" t="s">
        <v>1557</v>
      </c>
      <c r="Q100" t="s">
        <v>1557</v>
      </c>
      <c r="R100" t="s">
        <v>1557</v>
      </c>
      <c r="S100" t="s">
        <v>1557</v>
      </c>
      <c r="T100" t="s">
        <v>1557</v>
      </c>
      <c r="U100" t="s">
        <v>1557</v>
      </c>
      <c r="V100" t="s">
        <v>1557</v>
      </c>
      <c r="W100" t="s">
        <v>1557</v>
      </c>
      <c r="X100" t="s">
        <v>1557</v>
      </c>
      <c r="Z100" t="s">
        <v>1557</v>
      </c>
      <c r="AB100" t="s">
        <v>1557</v>
      </c>
    </row>
    <row r="101" spans="1:28" ht="18.75" x14ac:dyDescent="0.25">
      <c r="A101" s="6">
        <f t="shared" si="3"/>
        <v>0.96153846153846156</v>
      </c>
      <c r="B101" s="7" t="str">
        <f t="array" aca="1" ref="B101" ca="1">OFFSET(C101,,MATCH(TRUE,C101:AJ101&lt;&gt;"",0)-1)</f>
        <v xml:space="preserve"> Forma de trabajo energéticamente eficiente</v>
      </c>
      <c r="C101" t="s">
        <v>874</v>
      </c>
      <c r="D101" t="s">
        <v>1018</v>
      </c>
      <c r="E101" t="s">
        <v>1018</v>
      </c>
      <c r="F101" t="s">
        <v>1018</v>
      </c>
      <c r="G101" t="s">
        <v>874</v>
      </c>
      <c r="H101" t="s">
        <v>874</v>
      </c>
      <c r="I101" t="s">
        <v>874</v>
      </c>
      <c r="J101" t="s">
        <v>874</v>
      </c>
      <c r="K101" t="s">
        <v>1253</v>
      </c>
      <c r="L101" t="s">
        <v>1253</v>
      </c>
      <c r="N101" t="s">
        <v>1558</v>
      </c>
      <c r="O101" t="s">
        <v>1558</v>
      </c>
      <c r="P101" t="s">
        <v>1558</v>
      </c>
      <c r="Q101" t="s">
        <v>1558</v>
      </c>
      <c r="R101" s="1" t="s">
        <v>1558</v>
      </c>
      <c r="S101" t="s">
        <v>1558</v>
      </c>
      <c r="T101" t="s">
        <v>1558</v>
      </c>
      <c r="U101" t="s">
        <v>1558</v>
      </c>
      <c r="V101" t="s">
        <v>1558</v>
      </c>
      <c r="W101" t="s">
        <v>1558</v>
      </c>
      <c r="X101" t="s">
        <v>1558</v>
      </c>
      <c r="Y101" t="s">
        <v>1558</v>
      </c>
      <c r="Z101" t="s">
        <v>1558</v>
      </c>
      <c r="AA101" t="s">
        <v>1558</v>
      </c>
      <c r="AB101" t="s">
        <v>1558</v>
      </c>
    </row>
    <row r="102" spans="1:28" ht="18.75" x14ac:dyDescent="0.25">
      <c r="A102" s="6">
        <f t="shared" si="3"/>
        <v>1</v>
      </c>
      <c r="B102" s="12" t="str">
        <f t="array" aca="1" ref="B102" ca="1">OFFSET(C102,,MATCH(TRUE,C102:AJ102&lt;&gt;"",0)-1)</f>
        <v xml:space="preserve"> Montaje</v>
      </c>
      <c r="C102" s="13" t="s">
        <v>875</v>
      </c>
      <c r="D102" s="13" t="s">
        <v>875</v>
      </c>
      <c r="E102" s="13" t="s">
        <v>875</v>
      </c>
      <c r="F102" s="13" t="s">
        <v>875</v>
      </c>
      <c r="G102" s="13" t="s">
        <v>875</v>
      </c>
      <c r="H102" s="13" t="s">
        <v>875</v>
      </c>
      <c r="I102" s="13" t="s">
        <v>875</v>
      </c>
      <c r="J102" s="13" t="s">
        <v>875</v>
      </c>
      <c r="K102" s="13" t="s">
        <v>1254</v>
      </c>
      <c r="L102" s="13" t="s">
        <v>1254</v>
      </c>
      <c r="M102" s="13" t="s">
        <v>1254</v>
      </c>
      <c r="N102" s="13" t="s">
        <v>1559</v>
      </c>
      <c r="O102" s="13" t="s">
        <v>1559</v>
      </c>
      <c r="P102" s="13" t="s">
        <v>1559</v>
      </c>
      <c r="Q102" s="13" t="s">
        <v>1559</v>
      </c>
      <c r="R102" s="13" t="s">
        <v>1559</v>
      </c>
      <c r="S102" s="13" t="s">
        <v>1559</v>
      </c>
      <c r="T102" s="13" t="s">
        <v>1559</v>
      </c>
      <c r="U102" s="13" t="s">
        <v>1559</v>
      </c>
      <c r="V102" s="13" t="s">
        <v>1559</v>
      </c>
      <c r="W102" s="13" t="s">
        <v>1559</v>
      </c>
      <c r="X102" s="13" t="s">
        <v>1559</v>
      </c>
      <c r="Y102" s="13" t="s">
        <v>1559</v>
      </c>
      <c r="Z102" s="13" t="s">
        <v>1559</v>
      </c>
      <c r="AA102" s="13" t="s">
        <v>1559</v>
      </c>
      <c r="AB102" s="13" t="s">
        <v>1559</v>
      </c>
    </row>
    <row r="103" spans="1:28" ht="18.75" x14ac:dyDescent="0.25">
      <c r="A103" s="6">
        <f t="shared" si="3"/>
        <v>1</v>
      </c>
      <c r="B103" s="7" t="str">
        <f t="array" aca="1" ref="B103" ca="1">OFFSET(C103,,MATCH(TRUE,C103:AJ103&lt;&gt;"",0)-1)</f>
        <v xml:space="preserve"> Verificación del volumen de suministro y realización de la inspección del transporte</v>
      </c>
      <c r="C103" t="s">
        <v>876</v>
      </c>
      <c r="D103" t="s">
        <v>1019</v>
      </c>
      <c r="E103" t="s">
        <v>1019</v>
      </c>
      <c r="F103" t="s">
        <v>1019</v>
      </c>
      <c r="G103" t="s">
        <v>876</v>
      </c>
      <c r="H103" t="s">
        <v>876</v>
      </c>
      <c r="I103" t="s">
        <v>876</v>
      </c>
      <c r="J103" t="s">
        <v>876</v>
      </c>
      <c r="K103" t="s">
        <v>1255</v>
      </c>
      <c r="L103" t="s">
        <v>1255</v>
      </c>
      <c r="M103" t="s">
        <v>1255</v>
      </c>
      <c r="N103" t="s">
        <v>1560</v>
      </c>
      <c r="O103" t="s">
        <v>1560</v>
      </c>
      <c r="P103" t="s">
        <v>1560</v>
      </c>
      <c r="Q103" t="s">
        <v>1560</v>
      </c>
      <c r="R103" t="s">
        <v>1560</v>
      </c>
      <c r="S103" t="s">
        <v>1560</v>
      </c>
      <c r="T103" t="s">
        <v>1560</v>
      </c>
      <c r="U103" t="s">
        <v>1560</v>
      </c>
      <c r="V103" t="s">
        <v>1560</v>
      </c>
      <c r="W103" t="s">
        <v>1560</v>
      </c>
      <c r="X103" s="1" t="s">
        <v>1560</v>
      </c>
      <c r="Y103" t="s">
        <v>1560</v>
      </c>
      <c r="Z103" t="s">
        <v>1560</v>
      </c>
      <c r="AA103" t="s">
        <v>1560</v>
      </c>
      <c r="AB103" t="s">
        <v>1560</v>
      </c>
    </row>
    <row r="104" spans="1:28" ht="18.75" x14ac:dyDescent="0.25">
      <c r="A104" s="6">
        <f t="shared" si="3"/>
        <v>1</v>
      </c>
      <c r="B104" s="7" t="str">
        <f t="array" aca="1" ref="B104" ca="1">OFFSET(C104,,MATCH(TRUE,C104:AJ104&lt;&gt;"",0)-1)</f>
        <v xml:space="preserve"> Transportar</v>
      </c>
      <c r="C104" t="s">
        <v>877</v>
      </c>
      <c r="D104" t="s">
        <v>1020</v>
      </c>
      <c r="E104" t="s">
        <v>1020</v>
      </c>
      <c r="F104" t="s">
        <v>1020</v>
      </c>
      <c r="G104" t="s">
        <v>877</v>
      </c>
      <c r="H104" t="s">
        <v>877</v>
      </c>
      <c r="I104" t="s">
        <v>877</v>
      </c>
      <c r="J104" t="s">
        <v>877</v>
      </c>
      <c r="K104" t="s">
        <v>877</v>
      </c>
      <c r="L104" t="s">
        <v>877</v>
      </c>
      <c r="M104" t="s">
        <v>1020</v>
      </c>
      <c r="N104" t="s">
        <v>1561</v>
      </c>
      <c r="O104" t="s">
        <v>1561</v>
      </c>
      <c r="P104" t="s">
        <v>1561</v>
      </c>
      <c r="Q104" t="s">
        <v>1561</v>
      </c>
      <c r="R104" t="s">
        <v>1561</v>
      </c>
      <c r="S104" t="s">
        <v>1561</v>
      </c>
      <c r="T104" t="s">
        <v>1561</v>
      </c>
      <c r="U104" t="s">
        <v>1561</v>
      </c>
      <c r="V104" t="s">
        <v>1561</v>
      </c>
      <c r="W104" t="s">
        <v>1561</v>
      </c>
      <c r="X104" t="s">
        <v>1561</v>
      </c>
      <c r="Y104" t="s">
        <v>1746</v>
      </c>
      <c r="Z104" t="s">
        <v>1561</v>
      </c>
      <c r="AA104" t="s">
        <v>1561</v>
      </c>
      <c r="AB104" t="s">
        <v>1561</v>
      </c>
    </row>
    <row r="105" spans="1:28" ht="18.75" x14ac:dyDescent="0.25">
      <c r="A105" s="6">
        <f t="shared" si="3"/>
        <v>1</v>
      </c>
      <c r="B105" s="7" t="str">
        <f t="array" aca="1" ref="B105" ca="1">OFFSET(C105,,MATCH(TRUE,C105:AJ105&lt;&gt;"",0)-1)</f>
        <v xml:space="preserve"> Montar</v>
      </c>
      <c r="C105" t="s">
        <v>878</v>
      </c>
      <c r="D105" t="s">
        <v>875</v>
      </c>
      <c r="E105" t="s">
        <v>875</v>
      </c>
      <c r="F105" t="s">
        <v>875</v>
      </c>
      <c r="G105" t="s">
        <v>878</v>
      </c>
      <c r="H105" t="s">
        <v>878</v>
      </c>
      <c r="I105" t="s">
        <v>878</v>
      </c>
      <c r="J105" t="s">
        <v>878</v>
      </c>
      <c r="K105" t="s">
        <v>878</v>
      </c>
      <c r="L105" t="s">
        <v>878</v>
      </c>
      <c r="M105" t="s">
        <v>878</v>
      </c>
      <c r="N105" t="s">
        <v>1562</v>
      </c>
      <c r="O105" t="s">
        <v>1562</v>
      </c>
      <c r="P105" t="s">
        <v>1562</v>
      </c>
      <c r="Q105" t="s">
        <v>1562</v>
      </c>
      <c r="R105" t="s">
        <v>1562</v>
      </c>
      <c r="S105" t="s">
        <v>1562</v>
      </c>
      <c r="T105" t="s">
        <v>1562</v>
      </c>
      <c r="U105" t="s">
        <v>1562</v>
      </c>
      <c r="V105" t="s">
        <v>1562</v>
      </c>
      <c r="W105" t="s">
        <v>1562</v>
      </c>
      <c r="X105" t="s">
        <v>1562</v>
      </c>
      <c r="Y105" t="s">
        <v>1562</v>
      </c>
      <c r="Z105" t="s">
        <v>1562</v>
      </c>
      <c r="AA105" t="s">
        <v>1562</v>
      </c>
      <c r="AB105" t="s">
        <v>1562</v>
      </c>
    </row>
    <row r="106" spans="1:28" ht="18.75" x14ac:dyDescent="0.25">
      <c r="A106" s="6">
        <f t="shared" si="3"/>
        <v>1</v>
      </c>
      <c r="B106" s="7" t="str">
        <f t="array" aca="1" ref="B106" ca="1">OFFSET(C106,,MATCH(TRUE,C106:AJ106&lt;&gt;"",0)-1)</f>
        <v xml:space="preserve"> Conexión</v>
      </c>
      <c r="C106" t="s">
        <v>879</v>
      </c>
      <c r="D106" t="s">
        <v>879</v>
      </c>
      <c r="E106" t="s">
        <v>879</v>
      </c>
      <c r="F106" t="s">
        <v>879</v>
      </c>
      <c r="G106" t="s">
        <v>879</v>
      </c>
      <c r="H106" t="s">
        <v>879</v>
      </c>
      <c r="I106" t="s">
        <v>879</v>
      </c>
      <c r="J106" t="s">
        <v>879</v>
      </c>
      <c r="K106" t="s">
        <v>1256</v>
      </c>
      <c r="L106" t="s">
        <v>1256</v>
      </c>
      <c r="M106" t="s">
        <v>1256</v>
      </c>
      <c r="N106" t="s">
        <v>1563</v>
      </c>
      <c r="O106" t="s">
        <v>1563</v>
      </c>
      <c r="P106" t="s">
        <v>1563</v>
      </c>
      <c r="Q106" t="s">
        <v>1563</v>
      </c>
      <c r="R106" t="s">
        <v>1563</v>
      </c>
      <c r="S106" t="s">
        <v>1563</v>
      </c>
      <c r="T106" t="s">
        <v>1563</v>
      </c>
      <c r="U106" t="s">
        <v>1563</v>
      </c>
      <c r="V106" t="s">
        <v>1563</v>
      </c>
      <c r="W106" t="s">
        <v>1563</v>
      </c>
      <c r="X106" t="s">
        <v>1563</v>
      </c>
      <c r="Y106" t="s">
        <v>1563</v>
      </c>
      <c r="Z106" t="s">
        <v>1563</v>
      </c>
      <c r="AA106" t="s">
        <v>1563</v>
      </c>
      <c r="AB106" t="s">
        <v>1563</v>
      </c>
    </row>
    <row r="107" spans="1:28" ht="18.75" x14ac:dyDescent="0.25">
      <c r="A107" s="6">
        <f t="shared" si="3"/>
        <v>1</v>
      </c>
      <c r="B107" s="7" t="str">
        <f t="array" aca="1" ref="B107" ca="1">OFFSET(C107,,MATCH(TRUE,C107:AJ107&lt;&gt;"",0)-1)</f>
        <v xml:space="preserve"> Puesta en servicio</v>
      </c>
      <c r="C107" t="s">
        <v>880</v>
      </c>
      <c r="D107" t="s">
        <v>880</v>
      </c>
      <c r="E107" t="s">
        <v>880</v>
      </c>
      <c r="F107" t="s">
        <v>880</v>
      </c>
      <c r="G107" t="s">
        <v>880</v>
      </c>
      <c r="H107" t="s">
        <v>880</v>
      </c>
      <c r="I107" t="s">
        <v>880</v>
      </c>
      <c r="J107" t="s">
        <v>880</v>
      </c>
      <c r="K107" t="s">
        <v>1257</v>
      </c>
      <c r="L107" t="s">
        <v>1257</v>
      </c>
      <c r="M107" t="s">
        <v>1257</v>
      </c>
      <c r="N107" t="s">
        <v>1564</v>
      </c>
      <c r="O107" t="s">
        <v>1564</v>
      </c>
      <c r="P107" t="s">
        <v>1564</v>
      </c>
      <c r="Q107" t="s">
        <v>1564</v>
      </c>
      <c r="R107" t="s">
        <v>1564</v>
      </c>
      <c r="S107" t="s">
        <v>1564</v>
      </c>
      <c r="T107" t="s">
        <v>1564</v>
      </c>
      <c r="U107" t="s">
        <v>1564</v>
      </c>
      <c r="V107" t="s">
        <v>1564</v>
      </c>
      <c r="W107" t="s">
        <v>1564</v>
      </c>
      <c r="X107" t="s">
        <v>1564</v>
      </c>
      <c r="Y107" t="s">
        <v>1564</v>
      </c>
      <c r="Z107" t="s">
        <v>1564</v>
      </c>
      <c r="AA107" t="s">
        <v>1564</v>
      </c>
      <c r="AB107" t="s">
        <v>1564</v>
      </c>
    </row>
    <row r="108" spans="1:28" ht="18.75" x14ac:dyDescent="0.25">
      <c r="A108" s="6">
        <f t="shared" si="3"/>
        <v>1</v>
      </c>
      <c r="B108" s="7" t="str">
        <f t="array" aca="1" ref="B108" ca="1">OFFSET(C108,,MATCH(TRUE,C108:AJ108&lt;&gt;"",0)-1)</f>
        <v xml:space="preserve"> Puesta fuera de servicio</v>
      </c>
      <c r="C108" t="s">
        <v>881</v>
      </c>
      <c r="D108" t="s">
        <v>881</v>
      </c>
      <c r="E108" s="1" t="s">
        <v>881</v>
      </c>
      <c r="F108" t="s">
        <v>881</v>
      </c>
      <c r="G108" t="s">
        <v>881</v>
      </c>
      <c r="H108" t="s">
        <v>881</v>
      </c>
      <c r="I108" t="s">
        <v>881</v>
      </c>
      <c r="J108" t="s">
        <v>881</v>
      </c>
      <c r="K108" t="s">
        <v>1258</v>
      </c>
      <c r="L108" t="s">
        <v>1258</v>
      </c>
      <c r="M108" t="s">
        <v>1397</v>
      </c>
      <c r="N108" t="s">
        <v>1565</v>
      </c>
      <c r="O108" t="s">
        <v>1565</v>
      </c>
      <c r="P108" t="s">
        <v>1565</v>
      </c>
      <c r="Q108" t="s">
        <v>1565</v>
      </c>
      <c r="R108" t="s">
        <v>1565</v>
      </c>
      <c r="S108" t="s">
        <v>1565</v>
      </c>
      <c r="T108" t="s">
        <v>1565</v>
      </c>
      <c r="U108" s="1" t="s">
        <v>1565</v>
      </c>
      <c r="V108" s="1" t="s">
        <v>1565</v>
      </c>
      <c r="W108" t="s">
        <v>1565</v>
      </c>
      <c r="X108" t="s">
        <v>1565</v>
      </c>
      <c r="Y108" t="s">
        <v>1565</v>
      </c>
      <c r="Z108" t="s">
        <v>1565</v>
      </c>
      <c r="AA108" t="s">
        <v>1565</v>
      </c>
      <c r="AB108" t="s">
        <v>1565</v>
      </c>
    </row>
    <row r="109" spans="1:28" ht="18.75" x14ac:dyDescent="0.25">
      <c r="A109" s="6">
        <f t="shared" si="3"/>
        <v>1</v>
      </c>
      <c r="B109" s="7" t="str">
        <f t="array" aca="1" ref="B109" ca="1">OFFSET(C109,,MATCH(TRUE,C109:AJ109&lt;&gt;"",0)-1)</f>
        <v xml:space="preserve"> Almacenamiento</v>
      </c>
      <c r="C109" t="s">
        <v>882</v>
      </c>
      <c r="D109" s="1" t="s">
        <v>882</v>
      </c>
      <c r="E109" t="s">
        <v>882</v>
      </c>
      <c r="F109" t="s">
        <v>882</v>
      </c>
      <c r="G109" t="s">
        <v>882</v>
      </c>
      <c r="H109" t="s">
        <v>882</v>
      </c>
      <c r="I109" t="s">
        <v>882</v>
      </c>
      <c r="J109" t="s">
        <v>882</v>
      </c>
      <c r="K109" t="s">
        <v>1259</v>
      </c>
      <c r="L109" t="s">
        <v>1259</v>
      </c>
      <c r="M109" t="s">
        <v>1259</v>
      </c>
      <c r="N109" t="s">
        <v>1566</v>
      </c>
      <c r="O109" t="s">
        <v>1566</v>
      </c>
      <c r="P109" t="s">
        <v>1566</v>
      </c>
      <c r="Q109" t="s">
        <v>1566</v>
      </c>
      <c r="R109" t="s">
        <v>1566</v>
      </c>
      <c r="S109" s="1" t="s">
        <v>1566</v>
      </c>
      <c r="T109" s="1" t="s">
        <v>1566</v>
      </c>
      <c r="U109" t="s">
        <v>1566</v>
      </c>
      <c r="V109" t="s">
        <v>1566</v>
      </c>
      <c r="W109" s="1" t="s">
        <v>1566</v>
      </c>
      <c r="X109" t="s">
        <v>1566</v>
      </c>
      <c r="Y109" t="s">
        <v>1566</v>
      </c>
      <c r="Z109" s="1" t="s">
        <v>1566</v>
      </c>
      <c r="AA109" t="s">
        <v>1566</v>
      </c>
      <c r="AB109" t="s">
        <v>1566</v>
      </c>
    </row>
    <row r="110" spans="1:28" ht="18.75" x14ac:dyDescent="0.25">
      <c r="A110" s="6">
        <f t="shared" si="3"/>
        <v>1</v>
      </c>
      <c r="B110" s="7" t="str">
        <f t="array" aca="1" ref="B110" ca="1">OFFSET(C110,,MATCH(TRUE,C110:AJ110&lt;&gt;"",0)-1)</f>
        <v xml:space="preserve"> Restablecimiento del servicio</v>
      </c>
      <c r="C110" t="s">
        <v>883</v>
      </c>
      <c r="D110" t="s">
        <v>1021</v>
      </c>
      <c r="E110" t="s">
        <v>1021</v>
      </c>
      <c r="F110" t="s">
        <v>1021</v>
      </c>
      <c r="G110" t="s">
        <v>883</v>
      </c>
      <c r="H110" t="s">
        <v>883</v>
      </c>
      <c r="I110" t="s">
        <v>883</v>
      </c>
      <c r="J110" t="s">
        <v>883</v>
      </c>
      <c r="K110" s="1" t="s">
        <v>1260</v>
      </c>
      <c r="L110" t="s">
        <v>1260</v>
      </c>
      <c r="M110" t="s">
        <v>1260</v>
      </c>
      <c r="N110" s="1" t="s">
        <v>1567</v>
      </c>
      <c r="O110" t="s">
        <v>1567</v>
      </c>
      <c r="P110" s="1" t="s">
        <v>1567</v>
      </c>
      <c r="Q110" t="s">
        <v>1567</v>
      </c>
      <c r="R110" t="s">
        <v>1567</v>
      </c>
      <c r="S110" t="s">
        <v>1567</v>
      </c>
      <c r="T110" t="s">
        <v>1567</v>
      </c>
      <c r="U110" t="s">
        <v>1567</v>
      </c>
      <c r="V110" t="s">
        <v>1567</v>
      </c>
      <c r="W110" t="s">
        <v>1567</v>
      </c>
      <c r="X110" t="s">
        <v>1567</v>
      </c>
      <c r="Y110" t="s">
        <v>1567</v>
      </c>
      <c r="Z110" t="s">
        <v>1567</v>
      </c>
      <c r="AA110" t="s">
        <v>1567</v>
      </c>
      <c r="AB110" t="s">
        <v>1567</v>
      </c>
    </row>
    <row r="111" spans="1:28" ht="18.75" x14ac:dyDescent="0.25">
      <c r="A111" s="6">
        <f t="shared" si="3"/>
        <v>1</v>
      </c>
      <c r="B111" s="7" t="str">
        <f t="array" aca="1" ref="B111" ca="1">OFFSET(C111,,MATCH(TRUE,C111:AJ111&lt;&gt;"",0)-1)</f>
        <v xml:space="preserve"> Eliminación de desechos</v>
      </c>
      <c r="C111" t="s">
        <v>884</v>
      </c>
      <c r="D111" t="s">
        <v>1022</v>
      </c>
      <c r="E111" t="s">
        <v>1022</v>
      </c>
      <c r="F111" t="s">
        <v>1022</v>
      </c>
      <c r="G111" t="s">
        <v>884</v>
      </c>
      <c r="H111" t="s">
        <v>884</v>
      </c>
      <c r="I111" t="s">
        <v>884</v>
      </c>
      <c r="J111" t="s">
        <v>884</v>
      </c>
      <c r="K111" t="s">
        <v>1261</v>
      </c>
      <c r="L111" t="s">
        <v>1261</v>
      </c>
      <c r="M111" t="s">
        <v>1398</v>
      </c>
      <c r="N111" t="s">
        <v>1568</v>
      </c>
      <c r="O111" t="s">
        <v>1568</v>
      </c>
      <c r="P111" t="s">
        <v>1568</v>
      </c>
      <c r="Q111" t="s">
        <v>1568</v>
      </c>
      <c r="R111" s="1" t="s">
        <v>1568</v>
      </c>
      <c r="S111" t="s">
        <v>1568</v>
      </c>
      <c r="T111" t="s">
        <v>1568</v>
      </c>
      <c r="U111" t="s">
        <v>1568</v>
      </c>
      <c r="V111" t="s">
        <v>1568</v>
      </c>
      <c r="W111" t="s">
        <v>1568</v>
      </c>
      <c r="X111" t="s">
        <v>1568</v>
      </c>
      <c r="Y111" t="s">
        <v>1568</v>
      </c>
      <c r="Z111" t="s">
        <v>1568</v>
      </c>
      <c r="AA111" t="s">
        <v>1568</v>
      </c>
      <c r="AB111" t="s">
        <v>1568</v>
      </c>
    </row>
    <row r="112" spans="1:28" ht="18.75" x14ac:dyDescent="0.25">
      <c r="A112" s="6">
        <f t="shared" si="3"/>
        <v>1</v>
      </c>
      <c r="B112" s="12" t="str">
        <f t="array" aca="1" ref="B112" ca="1">OFFSET(C112,,MATCH(TRUE,C112:AJ112&lt;&gt;"",0)-1)</f>
        <v xml:space="preserve"> Funcionamiento</v>
      </c>
      <c r="C112" s="13" t="s">
        <v>885</v>
      </c>
      <c r="D112" s="13" t="s">
        <v>885</v>
      </c>
      <c r="E112" s="13" t="s">
        <v>885</v>
      </c>
      <c r="F112" s="13" t="s">
        <v>885</v>
      </c>
      <c r="G112" s="13" t="s">
        <v>885</v>
      </c>
      <c r="H112" s="13" t="s">
        <v>1163</v>
      </c>
      <c r="I112" s="13" t="s">
        <v>1163</v>
      </c>
      <c r="J112" s="13" t="s">
        <v>1163</v>
      </c>
      <c r="K112" s="13" t="s">
        <v>1262</v>
      </c>
      <c r="L112" s="13" t="s">
        <v>1262</v>
      </c>
      <c r="M112" s="13" t="s">
        <v>1262</v>
      </c>
      <c r="N112" s="13" t="s">
        <v>1569</v>
      </c>
      <c r="O112" s="13" t="s">
        <v>1569</v>
      </c>
      <c r="P112" s="13" t="s">
        <v>1569</v>
      </c>
      <c r="Q112" s="13" t="s">
        <v>1569</v>
      </c>
      <c r="R112" s="13" t="s">
        <v>1569</v>
      </c>
      <c r="S112" s="13" t="s">
        <v>1569</v>
      </c>
      <c r="T112" s="13" t="s">
        <v>1569</v>
      </c>
      <c r="U112" s="13" t="s">
        <v>1569</v>
      </c>
      <c r="V112" s="13" t="s">
        <v>1569</v>
      </c>
      <c r="W112" s="13" t="s">
        <v>1569</v>
      </c>
      <c r="X112" s="13" t="s">
        <v>1569</v>
      </c>
      <c r="Y112" s="13" t="s">
        <v>1569</v>
      </c>
      <c r="Z112" s="13" t="s">
        <v>1569</v>
      </c>
      <c r="AA112" s="13" t="s">
        <v>1569</v>
      </c>
      <c r="AB112" s="13" t="s">
        <v>1569</v>
      </c>
    </row>
    <row r="113" spans="1:28" ht="18.75" x14ac:dyDescent="0.25">
      <c r="A113" s="6">
        <f t="shared" si="3"/>
        <v>1</v>
      </c>
      <c r="B113" s="7" t="str">
        <f t="array" aca="1" ref="B113" ca="1">OFFSET(C113,,MATCH(TRUE,C113:AJ113&lt;&gt;"",0)-1)</f>
        <v xml:space="preserve"> Indicaciones de seguridad</v>
      </c>
      <c r="C113" t="s">
        <v>886</v>
      </c>
      <c r="D113" t="s">
        <v>886</v>
      </c>
      <c r="E113" t="s">
        <v>886</v>
      </c>
      <c r="F113" t="s">
        <v>886</v>
      </c>
      <c r="G113" t="s">
        <v>886</v>
      </c>
      <c r="H113" s="1" t="s">
        <v>1164</v>
      </c>
      <c r="I113" t="s">
        <v>1164</v>
      </c>
      <c r="J113" t="s">
        <v>1164</v>
      </c>
      <c r="K113" t="s">
        <v>1263</v>
      </c>
      <c r="L113" t="s">
        <v>1263</v>
      </c>
      <c r="M113" t="s">
        <v>1399</v>
      </c>
      <c r="N113" t="s">
        <v>1570</v>
      </c>
      <c r="O113" t="s">
        <v>1570</v>
      </c>
      <c r="P113" t="s">
        <v>1570</v>
      </c>
      <c r="Q113" t="s">
        <v>1570</v>
      </c>
      <c r="R113" t="s">
        <v>1570</v>
      </c>
      <c r="S113" t="s">
        <v>1570</v>
      </c>
      <c r="T113" t="s">
        <v>1570</v>
      </c>
      <c r="U113" t="s">
        <v>1570</v>
      </c>
      <c r="V113" t="s">
        <v>1570</v>
      </c>
      <c r="W113" t="s">
        <v>1570</v>
      </c>
      <c r="X113" s="1" t="s">
        <v>1570</v>
      </c>
      <c r="Y113" t="s">
        <v>1570</v>
      </c>
      <c r="Z113" t="s">
        <v>1570</v>
      </c>
      <c r="AA113" t="s">
        <v>1570</v>
      </c>
      <c r="AB113" s="1" t="s">
        <v>1570</v>
      </c>
    </row>
    <row r="114" spans="1:28" ht="18.75" x14ac:dyDescent="0.25">
      <c r="A114" s="6">
        <f t="shared" si="3"/>
        <v>1</v>
      </c>
      <c r="B114" s="7" t="str">
        <f t="array" aca="1" ref="B114" ca="1">OFFSET(C114,,MATCH(TRUE,C114:AJ114&lt;&gt;"",0)-1)</f>
        <v xml:space="preserve"> Dispositivos de protección</v>
      </c>
      <c r="C114" t="s">
        <v>823</v>
      </c>
      <c r="D114" t="s">
        <v>823</v>
      </c>
      <c r="E114" t="s">
        <v>823</v>
      </c>
      <c r="F114" s="1" t="s">
        <v>823</v>
      </c>
      <c r="G114" t="s">
        <v>823</v>
      </c>
      <c r="H114" t="s">
        <v>823</v>
      </c>
      <c r="I114" t="s">
        <v>823</v>
      </c>
      <c r="J114" t="s">
        <v>823</v>
      </c>
      <c r="K114" t="s">
        <v>1202</v>
      </c>
      <c r="L114" t="s">
        <v>1202</v>
      </c>
      <c r="M114" t="s">
        <v>1202</v>
      </c>
      <c r="N114" t="s">
        <v>1505</v>
      </c>
      <c r="O114" t="s">
        <v>1505</v>
      </c>
      <c r="P114" t="s">
        <v>1505</v>
      </c>
      <c r="Q114" t="s">
        <v>1505</v>
      </c>
      <c r="R114" t="s">
        <v>1505</v>
      </c>
      <c r="S114" t="s">
        <v>1505</v>
      </c>
      <c r="T114" t="s">
        <v>1505</v>
      </c>
      <c r="U114" t="s">
        <v>1505</v>
      </c>
      <c r="V114" t="s">
        <v>1505</v>
      </c>
      <c r="W114" t="s">
        <v>1505</v>
      </c>
      <c r="X114" t="s">
        <v>1505</v>
      </c>
      <c r="Y114" t="s">
        <v>1505</v>
      </c>
      <c r="Z114" t="s">
        <v>1505</v>
      </c>
      <c r="AA114" t="s">
        <v>1505</v>
      </c>
      <c r="AB114" t="s">
        <v>1505</v>
      </c>
    </row>
    <row r="115" spans="1:28" ht="18.75" x14ac:dyDescent="0.25">
      <c r="A115" s="6">
        <f t="shared" si="3"/>
        <v>1</v>
      </c>
      <c r="B115" s="7" t="str">
        <f t="array" aca="1" ref="B115" ca="1">OFFSET(C115,,MATCH(TRUE,C115:AJ115&lt;&gt;"",0)-1)</f>
        <v xml:space="preserve"> Parada de emergencia</v>
      </c>
      <c r="C115" t="s">
        <v>887</v>
      </c>
      <c r="D115" t="s">
        <v>887</v>
      </c>
      <c r="E115" t="s">
        <v>887</v>
      </c>
      <c r="F115" t="s">
        <v>887</v>
      </c>
      <c r="G115" t="s">
        <v>887</v>
      </c>
      <c r="H115" t="s">
        <v>887</v>
      </c>
      <c r="I115" t="s">
        <v>887</v>
      </c>
      <c r="J115" t="s">
        <v>887</v>
      </c>
      <c r="K115" t="s">
        <v>1264</v>
      </c>
      <c r="L115" s="1" t="s">
        <v>1264</v>
      </c>
      <c r="M115" t="s">
        <v>1400</v>
      </c>
      <c r="N115" t="s">
        <v>1571</v>
      </c>
      <c r="O115" t="s">
        <v>1571</v>
      </c>
      <c r="P115" t="s">
        <v>1571</v>
      </c>
      <c r="Q115" t="s">
        <v>1571</v>
      </c>
      <c r="R115" t="s">
        <v>1571</v>
      </c>
      <c r="S115" t="s">
        <v>1571</v>
      </c>
      <c r="T115" t="s">
        <v>1571</v>
      </c>
      <c r="U115" t="s">
        <v>1571</v>
      </c>
      <c r="V115" t="s">
        <v>1571</v>
      </c>
      <c r="W115" t="s">
        <v>1571</v>
      </c>
      <c r="X115" t="s">
        <v>1571</v>
      </c>
      <c r="Y115" t="s">
        <v>1571</v>
      </c>
      <c r="Z115" t="s">
        <v>1571</v>
      </c>
      <c r="AA115" t="s">
        <v>1571</v>
      </c>
      <c r="AB115" t="s">
        <v>1571</v>
      </c>
    </row>
    <row r="116" spans="1:28" ht="18.75" x14ac:dyDescent="0.25">
      <c r="A116" s="6">
        <f t="shared" si="3"/>
        <v>0.23076923076923073</v>
      </c>
      <c r="B116" s="7" t="str">
        <f t="array" aca="1" ref="B116" ca="1">OFFSET(C116,,MATCH(TRUE,C116:AJ116&lt;&gt;"",0)-1)</f>
        <v xml:space="preserve"> Acceso a la sala blanca</v>
      </c>
      <c r="E116" t="s">
        <v>1097</v>
      </c>
      <c r="P116" t="s">
        <v>1693</v>
      </c>
      <c r="S116" t="s">
        <v>1693</v>
      </c>
      <c r="T116" t="s">
        <v>1693</v>
      </c>
      <c r="X116" t="s">
        <v>1693</v>
      </c>
      <c r="AB116" t="s">
        <v>1693</v>
      </c>
    </row>
    <row r="117" spans="1:28" ht="18.75" x14ac:dyDescent="0.25">
      <c r="A117" s="6">
        <f t="shared" si="3"/>
        <v>1</v>
      </c>
      <c r="B117" s="7" t="str">
        <f t="array" aca="1" ref="B117" ca="1">OFFSET(C117,,MATCH(TRUE,C117:AJ117&lt;&gt;"",0)-1)</f>
        <v xml:space="preserve"> Abrir y cerrar las puertas del revestimiento de la máquina</v>
      </c>
      <c r="C117" t="s">
        <v>888</v>
      </c>
      <c r="D117" t="s">
        <v>1023</v>
      </c>
      <c r="E117" t="s">
        <v>1023</v>
      </c>
      <c r="F117" t="s">
        <v>1023</v>
      </c>
      <c r="G117" t="s">
        <v>888</v>
      </c>
      <c r="H117" t="s">
        <v>1165</v>
      </c>
      <c r="I117" t="s">
        <v>1165</v>
      </c>
      <c r="J117" t="s">
        <v>1165</v>
      </c>
      <c r="K117" t="s">
        <v>1265</v>
      </c>
      <c r="L117" t="s">
        <v>1265</v>
      </c>
      <c r="M117" t="s">
        <v>1265</v>
      </c>
      <c r="N117" t="s">
        <v>1572</v>
      </c>
      <c r="O117" t="s">
        <v>1572</v>
      </c>
      <c r="P117" t="s">
        <v>1572</v>
      </c>
      <c r="Q117" t="s">
        <v>1572</v>
      </c>
      <c r="R117" t="s">
        <v>1572</v>
      </c>
      <c r="S117" t="s">
        <v>1572</v>
      </c>
      <c r="T117" t="s">
        <v>1572</v>
      </c>
      <c r="U117" t="s">
        <v>1572</v>
      </c>
      <c r="V117" t="s">
        <v>1572</v>
      </c>
      <c r="W117" t="s">
        <v>1572</v>
      </c>
      <c r="X117" t="s">
        <v>1572</v>
      </c>
      <c r="Y117" t="s">
        <v>1572</v>
      </c>
      <c r="Z117" t="s">
        <v>1572</v>
      </c>
      <c r="AA117" t="s">
        <v>1572</v>
      </c>
      <c r="AB117" t="s">
        <v>1572</v>
      </c>
    </row>
    <row r="118" spans="1:28" ht="18.75" x14ac:dyDescent="0.25">
      <c r="A118" s="6">
        <f t="shared" si="3"/>
        <v>3.8461538461538436E-2</v>
      </c>
      <c r="B118" s="7" t="str">
        <f t="array" aca="1" ref="B118" ca="1">OFFSET(C118,,MATCH(TRUE,C118:AJ118&lt;&gt;"",0)-1)</f>
        <v xml:space="preserve"> Apertura de la puerta protectora</v>
      </c>
      <c r="E118" t="s">
        <v>1098</v>
      </c>
    </row>
    <row r="119" spans="1:28" ht="18.75" x14ac:dyDescent="0.25">
      <c r="A119" s="6">
        <f t="shared" si="3"/>
        <v>1</v>
      </c>
      <c r="B119" s="7" t="str">
        <f t="array" aca="1" ref="B119" ca="1">OFFSET(C119,,MATCH(TRUE,C119:AJ119&lt;&gt;"",0)-1)</f>
        <v xml:space="preserve"> Dispositivos de aviso</v>
      </c>
      <c r="C119" t="s">
        <v>855</v>
      </c>
      <c r="D119" t="s">
        <v>1008</v>
      </c>
      <c r="E119" t="s">
        <v>1008</v>
      </c>
      <c r="F119" t="s">
        <v>1008</v>
      </c>
      <c r="G119" t="s">
        <v>855</v>
      </c>
      <c r="H119" t="s">
        <v>855</v>
      </c>
      <c r="I119" t="s">
        <v>855</v>
      </c>
      <c r="J119" s="1" t="s">
        <v>855</v>
      </c>
      <c r="K119" t="s">
        <v>855</v>
      </c>
      <c r="L119" t="s">
        <v>855</v>
      </c>
      <c r="M119" t="s">
        <v>855</v>
      </c>
      <c r="N119" t="s">
        <v>1538</v>
      </c>
      <c r="O119" t="s">
        <v>1538</v>
      </c>
      <c r="P119" t="s">
        <v>1538</v>
      </c>
      <c r="Q119" t="s">
        <v>1538</v>
      </c>
      <c r="R119" t="s">
        <v>1538</v>
      </c>
      <c r="S119" t="s">
        <v>1538</v>
      </c>
      <c r="T119" t="s">
        <v>1538</v>
      </c>
      <c r="U119" t="s">
        <v>1538</v>
      </c>
      <c r="V119" t="s">
        <v>1538</v>
      </c>
      <c r="W119" t="s">
        <v>1538</v>
      </c>
      <c r="X119" t="s">
        <v>1538</v>
      </c>
      <c r="Y119" s="1" t="s">
        <v>1538</v>
      </c>
      <c r="Z119" t="s">
        <v>1538</v>
      </c>
      <c r="AA119" t="s">
        <v>1538</v>
      </c>
      <c r="AB119" t="s">
        <v>1538</v>
      </c>
    </row>
    <row r="120" spans="1:28" ht="18.75" x14ac:dyDescent="0.25">
      <c r="A120" s="6">
        <f t="shared" si="3"/>
        <v>1</v>
      </c>
      <c r="B120" s="7" t="str">
        <f t="array" aca="1" ref="B120" ca="1">OFFSET(C120,,MATCH(TRUE,C120:AJ120&lt;&gt;"",0)-1)</f>
        <v xml:space="preserve"> Piloto</v>
      </c>
      <c r="C120" t="s">
        <v>889</v>
      </c>
      <c r="D120" t="s">
        <v>1024</v>
      </c>
      <c r="E120" t="s">
        <v>1099</v>
      </c>
      <c r="F120" t="s">
        <v>1024</v>
      </c>
      <c r="G120" t="s">
        <v>889</v>
      </c>
      <c r="H120" t="s">
        <v>889</v>
      </c>
      <c r="I120" s="1" t="s">
        <v>1099</v>
      </c>
      <c r="J120" t="s">
        <v>1099</v>
      </c>
      <c r="K120" t="s">
        <v>1266</v>
      </c>
      <c r="L120" t="s">
        <v>1353</v>
      </c>
      <c r="M120" t="s">
        <v>1268</v>
      </c>
      <c r="N120" t="s">
        <v>1573</v>
      </c>
      <c r="O120" t="s">
        <v>1573</v>
      </c>
      <c r="P120" t="s">
        <v>1573</v>
      </c>
      <c r="Q120" t="s">
        <v>1573</v>
      </c>
      <c r="R120" t="s">
        <v>1573</v>
      </c>
      <c r="S120" t="s">
        <v>1573</v>
      </c>
      <c r="T120" t="s">
        <v>1573</v>
      </c>
      <c r="U120" t="s">
        <v>1573</v>
      </c>
      <c r="V120" t="s">
        <v>1573</v>
      </c>
      <c r="W120" t="s">
        <v>1573</v>
      </c>
      <c r="X120" t="s">
        <v>1573</v>
      </c>
      <c r="Y120" t="s">
        <v>1747</v>
      </c>
      <c r="Z120" t="s">
        <v>1573</v>
      </c>
      <c r="AA120" t="s">
        <v>1747</v>
      </c>
      <c r="AB120" t="s">
        <v>1573</v>
      </c>
    </row>
    <row r="121" spans="1:28" ht="18.75" x14ac:dyDescent="0.25">
      <c r="A121" s="6">
        <f t="shared" si="3"/>
        <v>1</v>
      </c>
      <c r="B121" s="7" t="str">
        <f t="array" aca="1" ref="B121" ca="1">OFFSET(C121,,MATCH(TRUE,C121:AJ121&lt;&gt;"",0)-1)</f>
        <v xml:space="preserve"> Bocina</v>
      </c>
      <c r="C121" t="s">
        <v>890</v>
      </c>
      <c r="D121" t="s">
        <v>890</v>
      </c>
      <c r="E121" t="s">
        <v>890</v>
      </c>
      <c r="F121" t="s">
        <v>890</v>
      </c>
      <c r="G121" s="1" t="s">
        <v>890</v>
      </c>
      <c r="H121" t="s">
        <v>890</v>
      </c>
      <c r="I121" t="s">
        <v>890</v>
      </c>
      <c r="J121" t="s">
        <v>890</v>
      </c>
      <c r="K121" t="s">
        <v>1267</v>
      </c>
      <c r="L121" t="s">
        <v>1267</v>
      </c>
      <c r="M121" t="s">
        <v>1401</v>
      </c>
      <c r="N121" t="s">
        <v>1574</v>
      </c>
      <c r="O121" t="s">
        <v>1574</v>
      </c>
      <c r="P121" t="s">
        <v>1574</v>
      </c>
      <c r="Q121" t="s">
        <v>1574</v>
      </c>
      <c r="R121" t="s">
        <v>1574</v>
      </c>
      <c r="S121" t="s">
        <v>1574</v>
      </c>
      <c r="T121" t="s">
        <v>1574</v>
      </c>
      <c r="U121" t="s">
        <v>1574</v>
      </c>
      <c r="V121" t="s">
        <v>1574</v>
      </c>
      <c r="W121" t="s">
        <v>1574</v>
      </c>
      <c r="X121" t="s">
        <v>1574</v>
      </c>
      <c r="Y121" t="s">
        <v>1574</v>
      </c>
      <c r="Z121" s="1" t="s">
        <v>1574</v>
      </c>
      <c r="AA121" t="s">
        <v>1574</v>
      </c>
      <c r="AB121" t="s">
        <v>1574</v>
      </c>
    </row>
    <row r="122" spans="1:28" ht="18.75" x14ac:dyDescent="0.25">
      <c r="A122" s="6">
        <f t="shared" si="3"/>
        <v>1</v>
      </c>
      <c r="B122" s="7" t="str">
        <f t="array" aca="1" ref="B122" ca="1">OFFSET(C122,,MATCH(TRUE,C122:AJ122&lt;&gt;"",0)-1)</f>
        <v xml:space="preserve"> Luz de advertencia del cilindro elevador</v>
      </c>
      <c r="C122" t="s">
        <v>891</v>
      </c>
      <c r="D122" t="s">
        <v>891</v>
      </c>
      <c r="E122" t="s">
        <v>891</v>
      </c>
      <c r="F122" t="s">
        <v>891</v>
      </c>
      <c r="G122" t="s">
        <v>891</v>
      </c>
      <c r="H122" t="s">
        <v>891</v>
      </c>
      <c r="I122" t="s">
        <v>891</v>
      </c>
      <c r="J122" t="s">
        <v>891</v>
      </c>
      <c r="K122" t="s">
        <v>1268</v>
      </c>
      <c r="L122" t="s">
        <v>1268</v>
      </c>
      <c r="M122" t="s">
        <v>1402</v>
      </c>
      <c r="N122" t="s">
        <v>1575</v>
      </c>
      <c r="O122" t="s">
        <v>1575</v>
      </c>
      <c r="P122" t="s">
        <v>1575</v>
      </c>
      <c r="Q122" t="s">
        <v>1575</v>
      </c>
      <c r="R122" t="s">
        <v>1575</v>
      </c>
      <c r="S122" t="s">
        <v>1575</v>
      </c>
      <c r="T122" t="s">
        <v>1575</v>
      </c>
      <c r="U122" t="s">
        <v>1575</v>
      </c>
      <c r="V122" t="s">
        <v>1575</v>
      </c>
      <c r="W122" t="s">
        <v>1575</v>
      </c>
      <c r="X122" t="s">
        <v>1575</v>
      </c>
      <c r="Y122" t="s">
        <v>1575</v>
      </c>
      <c r="Z122" t="s">
        <v>1575</v>
      </c>
      <c r="AA122" t="s">
        <v>1575</v>
      </c>
      <c r="AB122" t="s">
        <v>1575</v>
      </c>
    </row>
    <row r="123" spans="1:28" ht="18.75" x14ac:dyDescent="0.25">
      <c r="A123" s="6">
        <f t="shared" si="3"/>
        <v>0.30769230769230771</v>
      </c>
      <c r="B123" s="7" t="str">
        <f t="array" aca="1" ref="B123" ca="1">OFFSET(C123,,MATCH(TRUE,C123:AJ123&lt;&gt;"",0)-1)</f>
        <v xml:space="preserve"> Advertencia de arranque</v>
      </c>
      <c r="C123" t="s">
        <v>892</v>
      </c>
      <c r="D123" t="s">
        <v>892</v>
      </c>
      <c r="E123" t="s">
        <v>892</v>
      </c>
      <c r="H123" t="s">
        <v>892</v>
      </c>
      <c r="Q123" t="s">
        <v>1705</v>
      </c>
      <c r="W123" t="s">
        <v>1705</v>
      </c>
      <c r="Z123" t="s">
        <v>1705</v>
      </c>
      <c r="AA123" t="s">
        <v>1705</v>
      </c>
    </row>
    <row r="124" spans="1:28" ht="18.75" x14ac:dyDescent="0.25">
      <c r="A124" s="6">
        <f t="shared" si="3"/>
        <v>1</v>
      </c>
      <c r="B124" s="7" t="str">
        <f t="array" aca="1" ref="B124" ca="1">OFFSET(C124,,MATCH(TRUE,C124:AJ124&lt;&gt;"",0)-1)</f>
        <v xml:space="preserve"> Dispositivos de mando</v>
      </c>
      <c r="C124" t="s">
        <v>857</v>
      </c>
      <c r="D124" t="s">
        <v>857</v>
      </c>
      <c r="E124" t="s">
        <v>857</v>
      </c>
      <c r="F124" t="s">
        <v>857</v>
      </c>
      <c r="G124" t="s">
        <v>857</v>
      </c>
      <c r="H124" t="s">
        <v>1166</v>
      </c>
      <c r="I124" t="s">
        <v>1166</v>
      </c>
      <c r="J124" t="s">
        <v>1166</v>
      </c>
      <c r="K124" t="s">
        <v>1269</v>
      </c>
      <c r="L124" t="s">
        <v>1269</v>
      </c>
      <c r="M124" t="s">
        <v>1269</v>
      </c>
      <c r="N124" t="s">
        <v>1540</v>
      </c>
      <c r="O124" t="s">
        <v>1540</v>
      </c>
      <c r="P124" t="s">
        <v>1540</v>
      </c>
      <c r="Q124" s="1" t="s">
        <v>1540</v>
      </c>
      <c r="R124" t="s">
        <v>1540</v>
      </c>
      <c r="S124" t="s">
        <v>1540</v>
      </c>
      <c r="T124" t="s">
        <v>1540</v>
      </c>
      <c r="U124" t="s">
        <v>1540</v>
      </c>
      <c r="V124" t="s">
        <v>1540</v>
      </c>
      <c r="W124" t="s">
        <v>1540</v>
      </c>
      <c r="X124" t="s">
        <v>1540</v>
      </c>
      <c r="Y124" t="s">
        <v>1540</v>
      </c>
      <c r="Z124" t="s">
        <v>1540</v>
      </c>
      <c r="AA124" t="s">
        <v>1540</v>
      </c>
      <c r="AB124" t="s">
        <v>1540</v>
      </c>
    </row>
    <row r="125" spans="1:28" ht="18.75" x14ac:dyDescent="0.25">
      <c r="A125" s="6">
        <f t="shared" si="3"/>
        <v>0.84615384615384615</v>
      </c>
      <c r="B125" s="7" t="str">
        <f t="array" aca="1" ref="B125" ca="1">OFFSET(C125,,MATCH(TRUE,C125:AJ125&lt;&gt;"",0)-1)</f>
        <v xml:space="preserve"> Panel de control</v>
      </c>
      <c r="F125" t="s">
        <v>1009</v>
      </c>
      <c r="G125" t="s">
        <v>858</v>
      </c>
      <c r="H125" s="1" t="s">
        <v>1128</v>
      </c>
      <c r="I125" t="s">
        <v>1128</v>
      </c>
      <c r="J125" t="s">
        <v>1128</v>
      </c>
      <c r="L125" t="s">
        <v>1237</v>
      </c>
      <c r="M125" t="s">
        <v>1403</v>
      </c>
      <c r="N125" t="s">
        <v>1576</v>
      </c>
      <c r="O125" t="s">
        <v>1576</v>
      </c>
      <c r="P125" t="s">
        <v>1576</v>
      </c>
      <c r="Q125" t="s">
        <v>1541</v>
      </c>
      <c r="R125" t="s">
        <v>1576</v>
      </c>
      <c r="S125" t="s">
        <v>1576</v>
      </c>
      <c r="T125" t="s">
        <v>1576</v>
      </c>
      <c r="U125" t="s">
        <v>1576</v>
      </c>
      <c r="V125" t="s">
        <v>1576</v>
      </c>
      <c r="W125" t="s">
        <v>1576</v>
      </c>
      <c r="X125" t="s">
        <v>1576</v>
      </c>
      <c r="Y125" t="s">
        <v>1541</v>
      </c>
      <c r="Z125" t="s">
        <v>1541</v>
      </c>
      <c r="AA125" t="s">
        <v>1541</v>
      </c>
      <c r="AB125" s="1" t="s">
        <v>1541</v>
      </c>
    </row>
    <row r="126" spans="1:28" ht="18.75" x14ac:dyDescent="0.25">
      <c r="A126" s="6">
        <f t="shared" si="3"/>
        <v>1</v>
      </c>
      <c r="B126" s="7" t="str">
        <f t="array" aca="1" ref="B126" ca="1">OFFSET(C126,,MATCH(TRUE,C126:AJ126&lt;&gt;"",0)-1)</f>
        <v xml:space="preserve"> Botoneras de mando</v>
      </c>
      <c r="C126" t="s">
        <v>893</v>
      </c>
      <c r="D126" t="s">
        <v>1025</v>
      </c>
      <c r="E126" t="s">
        <v>1025</v>
      </c>
      <c r="F126" t="s">
        <v>1025</v>
      </c>
      <c r="G126" t="s">
        <v>893</v>
      </c>
      <c r="H126" t="s">
        <v>1167</v>
      </c>
      <c r="I126" t="s">
        <v>1167</v>
      </c>
      <c r="J126" t="s">
        <v>1167</v>
      </c>
      <c r="K126" t="s">
        <v>1270</v>
      </c>
      <c r="L126" t="s">
        <v>1270</v>
      </c>
      <c r="M126" t="s">
        <v>1404</v>
      </c>
      <c r="N126" t="s">
        <v>1536</v>
      </c>
      <c r="O126" t="s">
        <v>1577</v>
      </c>
      <c r="P126" t="s">
        <v>1577</v>
      </c>
      <c r="Q126" t="s">
        <v>1576</v>
      </c>
      <c r="R126" t="s">
        <v>1577</v>
      </c>
      <c r="S126" t="s">
        <v>1577</v>
      </c>
      <c r="T126" t="s">
        <v>1577</v>
      </c>
      <c r="U126" t="s">
        <v>1577</v>
      </c>
      <c r="V126" t="s">
        <v>1577</v>
      </c>
      <c r="W126" t="s">
        <v>1577</v>
      </c>
      <c r="X126" t="s">
        <v>1577</v>
      </c>
      <c r="Y126" t="s">
        <v>1576</v>
      </c>
      <c r="Z126" t="s">
        <v>1576</v>
      </c>
      <c r="AA126" t="s">
        <v>1576</v>
      </c>
      <c r="AB126" t="s">
        <v>1576</v>
      </c>
    </row>
    <row r="127" spans="1:28" ht="18.75" x14ac:dyDescent="0.25">
      <c r="A127" s="6">
        <f t="shared" si="3"/>
        <v>0.84615384615384615</v>
      </c>
      <c r="B127" s="7" t="str">
        <f t="array" aca="1" ref="B127" ca="1">OFFSET(C127,,MATCH(TRUE,C127:AJ127&lt;&gt;"",0)-1)</f>
        <v xml:space="preserve"> Llave de seguridad</v>
      </c>
      <c r="C127" t="s">
        <v>894</v>
      </c>
      <c r="D127" t="s">
        <v>894</v>
      </c>
      <c r="E127" t="s">
        <v>1100</v>
      </c>
      <c r="F127" s="1" t="s">
        <v>894</v>
      </c>
      <c r="H127" t="s">
        <v>894</v>
      </c>
      <c r="K127" t="s">
        <v>1271</v>
      </c>
      <c r="L127" t="s">
        <v>1354</v>
      </c>
      <c r="N127" t="s">
        <v>1577</v>
      </c>
      <c r="O127" t="s">
        <v>1578</v>
      </c>
      <c r="P127" t="s">
        <v>1578</v>
      </c>
      <c r="Q127" t="s">
        <v>1577</v>
      </c>
      <c r="R127" t="s">
        <v>1578</v>
      </c>
      <c r="S127" t="s">
        <v>1578</v>
      </c>
      <c r="T127" t="s">
        <v>1578</v>
      </c>
      <c r="U127" t="s">
        <v>1578</v>
      </c>
      <c r="V127" t="s">
        <v>1578</v>
      </c>
      <c r="W127" t="s">
        <v>1578</v>
      </c>
      <c r="X127" t="s">
        <v>1578</v>
      </c>
      <c r="Y127" t="s">
        <v>1578</v>
      </c>
      <c r="Z127" t="s">
        <v>1577</v>
      </c>
      <c r="AA127" t="s">
        <v>1577</v>
      </c>
      <c r="AB127" t="s">
        <v>1577</v>
      </c>
    </row>
    <row r="128" spans="1:28" ht="18.75" x14ac:dyDescent="0.25">
      <c r="A128" s="6">
        <f t="shared" si="3"/>
        <v>0.61538461538461542</v>
      </c>
      <c r="B128" s="7" t="str">
        <f t="array" aca="1" ref="B128" ca="1">OFFSET(C128,,MATCH(TRUE,C128:AJ128&lt;&gt;"",0)-1)</f>
        <v xml:space="preserve"> Interruptor principal</v>
      </c>
      <c r="C128" t="s">
        <v>895</v>
      </c>
      <c r="D128" t="s">
        <v>895</v>
      </c>
      <c r="E128" t="s">
        <v>895</v>
      </c>
      <c r="F128" t="s">
        <v>895</v>
      </c>
      <c r="G128" t="s">
        <v>895</v>
      </c>
      <c r="H128" t="s">
        <v>895</v>
      </c>
      <c r="I128" t="s">
        <v>895</v>
      </c>
      <c r="J128" t="s">
        <v>895</v>
      </c>
      <c r="K128" t="s">
        <v>895</v>
      </c>
      <c r="L128" s="1" t="s">
        <v>895</v>
      </c>
      <c r="N128" t="s">
        <v>1578</v>
      </c>
      <c r="Q128" t="s">
        <v>1578</v>
      </c>
      <c r="Y128" t="s">
        <v>1553</v>
      </c>
      <c r="Z128" t="s">
        <v>1578</v>
      </c>
      <c r="AA128" t="s">
        <v>1578</v>
      </c>
      <c r="AB128" t="s">
        <v>1578</v>
      </c>
    </row>
    <row r="129" spans="1:36" ht="18.75" x14ac:dyDescent="0.25">
      <c r="A129" s="6">
        <f t="shared" si="3"/>
        <v>0.23076923076923073</v>
      </c>
      <c r="B129" s="7" t="str">
        <f t="array" aca="1" ref="B129" ca="1">OFFSET(C129,,MATCH(TRUE,C129:AJ129&lt;&gt;"",0)-1)</f>
        <v xml:space="preserve"> Armario de distribución</v>
      </c>
      <c r="G129" t="s">
        <v>869</v>
      </c>
      <c r="I129" t="s">
        <v>869</v>
      </c>
      <c r="J129" t="s">
        <v>869</v>
      </c>
      <c r="L129" t="s">
        <v>1248</v>
      </c>
      <c r="M129" t="s">
        <v>1248</v>
      </c>
      <c r="AA129" t="s">
        <v>1553</v>
      </c>
    </row>
    <row r="130" spans="1:36" ht="18.75" x14ac:dyDescent="0.25">
      <c r="A130" s="6">
        <f t="shared" si="3"/>
        <v>3.8461538461538436E-2</v>
      </c>
      <c r="B130" s="7" t="str">
        <f t="array" aca="1" ref="B130" ca="1">OFFSET(C130,,MATCH(TRUE,C130:AJ130&lt;&gt;"",0)-1)</f>
        <v xml:space="preserve"> Interruptor de chave ReDis Single</v>
      </c>
      <c r="M130" t="s">
        <v>1405</v>
      </c>
    </row>
    <row r="131" spans="1:36" ht="18.75" x14ac:dyDescent="0.25">
      <c r="A131" s="6">
        <f t="shared" si="3"/>
        <v>1</v>
      </c>
      <c r="B131" s="7" t="str">
        <f t="array" aca="1" ref="B131" ca="1">OFFSET(C131,,MATCH(TRUE,C131:AJ131&lt;&gt;"",0)-1)</f>
        <v xml:space="preserve"> Modo paso a paso</v>
      </c>
      <c r="C131" t="s">
        <v>896</v>
      </c>
      <c r="D131" t="s">
        <v>1026</v>
      </c>
      <c r="E131" t="s">
        <v>1101</v>
      </c>
      <c r="F131" t="s">
        <v>1114</v>
      </c>
      <c r="G131" t="s">
        <v>1026</v>
      </c>
      <c r="H131" t="s">
        <v>1026</v>
      </c>
      <c r="I131" t="s">
        <v>1026</v>
      </c>
      <c r="J131" t="s">
        <v>1026</v>
      </c>
      <c r="K131" t="s">
        <v>1272</v>
      </c>
      <c r="L131" t="s">
        <v>1272</v>
      </c>
      <c r="M131" t="s">
        <v>1407</v>
      </c>
      <c r="N131" t="s">
        <v>1579</v>
      </c>
      <c r="O131" t="s">
        <v>1671</v>
      </c>
      <c r="P131" t="s">
        <v>1579</v>
      </c>
      <c r="Q131" t="s">
        <v>1671</v>
      </c>
      <c r="R131" t="s">
        <v>1671</v>
      </c>
      <c r="S131" t="s">
        <v>1671</v>
      </c>
      <c r="T131" t="s">
        <v>1671</v>
      </c>
      <c r="U131" t="s">
        <v>1671</v>
      </c>
      <c r="V131" t="s">
        <v>1671</v>
      </c>
      <c r="W131" t="s">
        <v>1671</v>
      </c>
      <c r="X131" t="s">
        <v>1671</v>
      </c>
      <c r="Y131" t="s">
        <v>1671</v>
      </c>
      <c r="Z131" t="s">
        <v>1671</v>
      </c>
      <c r="AA131" t="s">
        <v>1671</v>
      </c>
      <c r="AB131" t="s">
        <v>1671</v>
      </c>
    </row>
    <row r="132" spans="1:36" ht="18.75" x14ac:dyDescent="0.25">
      <c r="A132" s="6">
        <f t="shared" si="3"/>
        <v>1</v>
      </c>
      <c r="B132" s="7" t="str">
        <f t="array" aca="1" ref="B132" ca="1">OFFSET(C132,,MATCH(TRUE,C132:AJ132&lt;&gt;"",0)-1)</f>
        <v xml:space="preserve"> Establecer la disposición de servicio</v>
      </c>
      <c r="C132" t="s">
        <v>897</v>
      </c>
      <c r="D132" t="s">
        <v>1027</v>
      </c>
      <c r="E132" t="s">
        <v>1027</v>
      </c>
      <c r="F132" t="s">
        <v>1027</v>
      </c>
      <c r="G132" t="s">
        <v>897</v>
      </c>
      <c r="H132" t="s">
        <v>1168</v>
      </c>
      <c r="I132" t="s">
        <v>1168</v>
      </c>
      <c r="J132" s="1" t="s">
        <v>1168</v>
      </c>
      <c r="K132" t="s">
        <v>1273</v>
      </c>
      <c r="L132" t="s">
        <v>1355</v>
      </c>
      <c r="M132" t="s">
        <v>1408</v>
      </c>
      <c r="N132" t="s">
        <v>1580</v>
      </c>
      <c r="O132" t="s">
        <v>1580</v>
      </c>
      <c r="P132" t="s">
        <v>1580</v>
      </c>
      <c r="Q132" t="s">
        <v>1580</v>
      </c>
      <c r="R132" t="s">
        <v>1580</v>
      </c>
      <c r="S132" t="s">
        <v>1580</v>
      </c>
      <c r="T132" t="s">
        <v>1580</v>
      </c>
      <c r="U132" t="s">
        <v>1580</v>
      </c>
      <c r="V132" t="s">
        <v>1580</v>
      </c>
      <c r="W132" t="s">
        <v>1580</v>
      </c>
      <c r="X132" t="s">
        <v>1580</v>
      </c>
      <c r="Y132" s="1" t="s">
        <v>1580</v>
      </c>
      <c r="Z132" t="s">
        <v>1580</v>
      </c>
      <c r="AA132" t="s">
        <v>1580</v>
      </c>
      <c r="AB132" t="s">
        <v>1580</v>
      </c>
    </row>
    <row r="133" spans="1:36" ht="18.75" x14ac:dyDescent="0.25">
      <c r="A133" s="6">
        <f t="shared" si="3"/>
        <v>0.23076923076923073</v>
      </c>
      <c r="B133" s="7" t="str">
        <f t="array" aca="1" ref="B133" ca="1">OFFSET(C133,,MATCH(TRUE,C133:AJ133&lt;&gt;"",0)-1)</f>
        <v xml:space="preserve"> Preparación de la sala blanca</v>
      </c>
      <c r="E133" t="s">
        <v>1102</v>
      </c>
      <c r="P133" t="s">
        <v>1694</v>
      </c>
      <c r="S133" t="s">
        <v>1694</v>
      </c>
      <c r="T133" t="s">
        <v>1694</v>
      </c>
      <c r="X133" t="s">
        <v>1694</v>
      </c>
      <c r="AB133" t="s">
        <v>1694</v>
      </c>
    </row>
    <row r="134" spans="1:36" ht="18.75" x14ac:dyDescent="0.25">
      <c r="A134" s="6">
        <f t="shared" si="3"/>
        <v>1</v>
      </c>
      <c r="B134" s="7" t="str">
        <f t="array" aca="1" ref="B134" ca="1">OFFSET(C134,,MATCH(TRUE,C134:AJ134&lt;&gt;"",0)-1)</f>
        <v xml:space="preserve"> Producción</v>
      </c>
      <c r="C134" t="s">
        <v>898</v>
      </c>
      <c r="D134" t="s">
        <v>898</v>
      </c>
      <c r="E134" t="s">
        <v>898</v>
      </c>
      <c r="F134" t="s">
        <v>898</v>
      </c>
      <c r="G134" t="s">
        <v>898</v>
      </c>
      <c r="H134" t="s">
        <v>898</v>
      </c>
      <c r="I134" s="1" t="s">
        <v>898</v>
      </c>
      <c r="J134" t="s">
        <v>898</v>
      </c>
      <c r="K134" t="s">
        <v>1274</v>
      </c>
      <c r="L134" t="s">
        <v>1274</v>
      </c>
      <c r="M134" s="1" t="s">
        <v>1274</v>
      </c>
      <c r="N134" t="s">
        <v>1581</v>
      </c>
      <c r="O134" t="s">
        <v>1581</v>
      </c>
      <c r="P134" t="s">
        <v>1581</v>
      </c>
      <c r="Q134" t="s">
        <v>1581</v>
      </c>
      <c r="R134" t="s">
        <v>1581</v>
      </c>
      <c r="S134" t="s">
        <v>1581</v>
      </c>
      <c r="T134" t="s">
        <v>1581</v>
      </c>
      <c r="U134" t="s">
        <v>1581</v>
      </c>
      <c r="V134" t="s">
        <v>1581</v>
      </c>
      <c r="W134" t="s">
        <v>1581</v>
      </c>
      <c r="X134" t="s">
        <v>1581</v>
      </c>
      <c r="Y134" t="s">
        <v>1581</v>
      </c>
      <c r="Z134" t="s">
        <v>1581</v>
      </c>
      <c r="AA134" t="s">
        <v>1581</v>
      </c>
      <c r="AB134" t="s">
        <v>1581</v>
      </c>
    </row>
    <row r="135" spans="1:36" ht="18.75" x14ac:dyDescent="0.25">
      <c r="A135" s="6">
        <f t="shared" ref="A135:A197" si="4">(1-COUNTBLANK(C135:AB135)/COLUMNS(C135:AB135))</f>
        <v>1</v>
      </c>
      <c r="B135" s="7" t="str">
        <f t="array" aca="1" ref="B135" ca="1">OFFSET(C135,,MATCH(TRUE,C135:AJ135&lt;&gt;"",0)-1)</f>
        <v xml:space="preserve"> Indicaciones de seguridad</v>
      </c>
      <c r="C135" t="s">
        <v>886</v>
      </c>
      <c r="D135" t="s">
        <v>886</v>
      </c>
      <c r="E135" t="s">
        <v>886</v>
      </c>
      <c r="F135" t="s">
        <v>886</v>
      </c>
      <c r="G135" t="s">
        <v>886</v>
      </c>
      <c r="H135" t="s">
        <v>1164</v>
      </c>
      <c r="I135" t="s">
        <v>1164</v>
      </c>
      <c r="J135" t="s">
        <v>1164</v>
      </c>
      <c r="K135" t="s">
        <v>1263</v>
      </c>
      <c r="L135" t="s">
        <v>1263</v>
      </c>
      <c r="M135" t="s">
        <v>1399</v>
      </c>
      <c r="N135" t="s">
        <v>1570</v>
      </c>
      <c r="O135" t="s">
        <v>1570</v>
      </c>
      <c r="P135" t="s">
        <v>1570</v>
      </c>
      <c r="Q135" t="s">
        <v>1570</v>
      </c>
      <c r="R135" t="s">
        <v>1570</v>
      </c>
      <c r="S135" t="s">
        <v>1570</v>
      </c>
      <c r="T135" t="s">
        <v>1570</v>
      </c>
      <c r="U135" t="s">
        <v>1570</v>
      </c>
      <c r="V135" t="s">
        <v>1570</v>
      </c>
      <c r="W135" t="s">
        <v>1570</v>
      </c>
      <c r="X135" t="s">
        <v>1570</v>
      </c>
      <c r="Y135" t="s">
        <v>1570</v>
      </c>
      <c r="Z135" t="s">
        <v>1570</v>
      </c>
      <c r="AA135" t="s">
        <v>1570</v>
      </c>
      <c r="AB135" t="s">
        <v>1570</v>
      </c>
    </row>
    <row r="136" spans="1:36" ht="18.75" x14ac:dyDescent="0.25">
      <c r="A136" s="6">
        <f t="shared" si="4"/>
        <v>0.11538461538461542</v>
      </c>
      <c r="B136" s="7" t="str">
        <f t="array" aca="1" ref="B136" ca="1">OFFSET(C136,,MATCH(TRUE,C136:AJ136&lt;&gt;"",0)-1)</f>
        <v xml:space="preserve"> Lista de intervenciones menores</v>
      </c>
      <c r="J136" t="s">
        <v>1179</v>
      </c>
      <c r="Y136" t="s">
        <v>1748</v>
      </c>
      <c r="Z136" t="s">
        <v>1748</v>
      </c>
    </row>
    <row r="137" spans="1:36" ht="18.75" x14ac:dyDescent="0.25">
      <c r="A137" s="6">
        <f t="shared" si="4"/>
        <v>1</v>
      </c>
      <c r="B137" s="7" t="str">
        <f t="array" aca="1" ref="B137" ca="1">OFFSET(C137,,MATCH(TRUE,C137:AJ137&lt;&gt;"",0)-1)</f>
        <v xml:space="preserve"> Requisitos preliminares</v>
      </c>
      <c r="C137" t="s">
        <v>899</v>
      </c>
      <c r="D137" t="s">
        <v>1028</v>
      </c>
      <c r="E137" t="s">
        <v>1028</v>
      </c>
      <c r="F137" t="s">
        <v>1028</v>
      </c>
      <c r="G137" t="s">
        <v>899</v>
      </c>
      <c r="H137" t="s">
        <v>899</v>
      </c>
      <c r="I137" t="s">
        <v>899</v>
      </c>
      <c r="J137" t="s">
        <v>899</v>
      </c>
      <c r="K137" t="s">
        <v>1275</v>
      </c>
      <c r="L137" t="s">
        <v>1275</v>
      </c>
      <c r="M137" t="s">
        <v>1275</v>
      </c>
      <c r="N137" t="s">
        <v>1582</v>
      </c>
      <c r="O137" t="s">
        <v>1582</v>
      </c>
      <c r="P137" t="s">
        <v>1582</v>
      </c>
      <c r="Q137" t="s">
        <v>1582</v>
      </c>
      <c r="R137" t="s">
        <v>1582</v>
      </c>
      <c r="S137" t="s">
        <v>1582</v>
      </c>
      <c r="T137" t="s">
        <v>1582</v>
      </c>
      <c r="U137" t="s">
        <v>1582</v>
      </c>
      <c r="V137" t="s">
        <v>1582</v>
      </c>
      <c r="W137" t="s">
        <v>1582</v>
      </c>
      <c r="X137" t="s">
        <v>1582</v>
      </c>
      <c r="Y137" t="s">
        <v>1582</v>
      </c>
      <c r="Z137" t="s">
        <v>1582</v>
      </c>
      <c r="AA137" t="s">
        <v>1582</v>
      </c>
      <c r="AB137" t="s">
        <v>1582</v>
      </c>
    </row>
    <row r="138" spans="1:36" ht="18.75" x14ac:dyDescent="0.25">
      <c r="A138" s="6">
        <f t="shared" si="4"/>
        <v>1</v>
      </c>
      <c r="B138" s="7" t="str">
        <f t="array" aca="1" ref="B138" ca="1">OFFSET(C138,,MATCH(TRUE,C138:AJ138&lt;&gt;"",0)-1)</f>
        <v xml:space="preserve"> Preparar la llenadora</v>
      </c>
      <c r="C138" t="s">
        <v>900</v>
      </c>
      <c r="D138" t="s">
        <v>1029</v>
      </c>
      <c r="E138" t="s">
        <v>1029</v>
      </c>
      <c r="F138" t="s">
        <v>1029</v>
      </c>
      <c r="G138" t="s">
        <v>908</v>
      </c>
      <c r="H138" t="s">
        <v>908</v>
      </c>
      <c r="I138" t="s">
        <v>908</v>
      </c>
      <c r="J138" t="s">
        <v>908</v>
      </c>
      <c r="K138" t="s">
        <v>1276</v>
      </c>
      <c r="L138" t="s">
        <v>908</v>
      </c>
      <c r="M138" t="s">
        <v>1409</v>
      </c>
      <c r="N138" t="s">
        <v>1583</v>
      </c>
      <c r="O138" t="s">
        <v>1583</v>
      </c>
      <c r="P138" t="s">
        <v>1583</v>
      </c>
      <c r="Q138" t="s">
        <v>1592</v>
      </c>
      <c r="R138" t="s">
        <v>1583</v>
      </c>
      <c r="S138" t="s">
        <v>1583</v>
      </c>
      <c r="T138" t="s">
        <v>1583</v>
      </c>
      <c r="U138" t="s">
        <v>1583</v>
      </c>
      <c r="V138" t="s">
        <v>1583</v>
      </c>
      <c r="W138" t="s">
        <v>1583</v>
      </c>
      <c r="X138" t="s">
        <v>1583</v>
      </c>
      <c r="Y138" t="s">
        <v>1592</v>
      </c>
      <c r="Z138" t="s">
        <v>1592</v>
      </c>
      <c r="AA138" t="s">
        <v>1592</v>
      </c>
      <c r="AB138" t="s">
        <v>1592</v>
      </c>
    </row>
    <row r="139" spans="1:36" ht="18.75" x14ac:dyDescent="0.25">
      <c r="A139" s="6">
        <f t="shared" si="4"/>
        <v>1</v>
      </c>
      <c r="B139" s="7" t="str">
        <f t="array" aca="1" ref="B139" ca="1">OFFSET(C139,,MATCH(TRUE,C139:AJ139&lt;&gt;"",0)-1)</f>
        <v xml:space="preserve"> Iniciar la producción</v>
      </c>
      <c r="C139" t="s">
        <v>901</v>
      </c>
      <c r="D139" t="s">
        <v>1030</v>
      </c>
      <c r="E139" t="s">
        <v>1030</v>
      </c>
      <c r="F139" t="s">
        <v>1030</v>
      </c>
      <c r="G139" t="s">
        <v>901</v>
      </c>
      <c r="H139" t="s">
        <v>901</v>
      </c>
      <c r="I139" t="s">
        <v>901</v>
      </c>
      <c r="J139" t="s">
        <v>901</v>
      </c>
      <c r="K139" t="s">
        <v>1277</v>
      </c>
      <c r="L139" t="s">
        <v>1277</v>
      </c>
      <c r="M139" t="s">
        <v>1410</v>
      </c>
      <c r="N139" t="s">
        <v>1584</v>
      </c>
      <c r="O139" t="s">
        <v>1584</v>
      </c>
      <c r="P139" t="s">
        <v>1584</v>
      </c>
      <c r="Q139" t="s">
        <v>1584</v>
      </c>
      <c r="R139" t="s">
        <v>1584</v>
      </c>
      <c r="S139" t="s">
        <v>1584</v>
      </c>
      <c r="T139" t="s">
        <v>1584</v>
      </c>
      <c r="U139" t="s">
        <v>1584</v>
      </c>
      <c r="V139" t="s">
        <v>1584</v>
      </c>
      <c r="W139" t="s">
        <v>1584</v>
      </c>
      <c r="X139" t="s">
        <v>1584</v>
      </c>
      <c r="Y139" t="s">
        <v>1584</v>
      </c>
      <c r="Z139" t="s">
        <v>1584</v>
      </c>
      <c r="AA139" t="s">
        <v>1584</v>
      </c>
      <c r="AB139" t="s">
        <v>1584</v>
      </c>
    </row>
    <row r="140" spans="1:36" ht="18.75" x14ac:dyDescent="0.25">
      <c r="A140" s="6">
        <f t="shared" si="4"/>
        <v>1</v>
      </c>
      <c r="B140" s="7" t="str">
        <f t="array" aca="1" ref="B140" ca="1">OFFSET(C140,,MATCH(TRUE,C140:AJ140&lt;&gt;"",0)-1)</f>
        <v xml:space="preserve"> Monitorear</v>
      </c>
      <c r="C140" t="s">
        <v>902</v>
      </c>
      <c r="D140" t="s">
        <v>1031</v>
      </c>
      <c r="E140" t="s">
        <v>1031</v>
      </c>
      <c r="F140" t="s">
        <v>1031</v>
      </c>
      <c r="G140" t="s">
        <v>902</v>
      </c>
      <c r="H140" t="s">
        <v>902</v>
      </c>
      <c r="I140" t="s">
        <v>902</v>
      </c>
      <c r="J140" t="s">
        <v>902</v>
      </c>
      <c r="K140" t="s">
        <v>1278</v>
      </c>
      <c r="L140" t="s">
        <v>1278</v>
      </c>
      <c r="M140" t="s">
        <v>1411</v>
      </c>
      <c r="N140" t="s">
        <v>1585</v>
      </c>
      <c r="O140" t="s">
        <v>1585</v>
      </c>
      <c r="P140" t="s">
        <v>1585</v>
      </c>
      <c r="Q140" t="s">
        <v>1585</v>
      </c>
      <c r="R140" t="s">
        <v>1585</v>
      </c>
      <c r="S140" t="s">
        <v>1585</v>
      </c>
      <c r="T140" t="s">
        <v>1585</v>
      </c>
      <c r="U140" t="s">
        <v>1585</v>
      </c>
      <c r="V140" t="s">
        <v>1585</v>
      </c>
      <c r="W140" t="s">
        <v>1585</v>
      </c>
      <c r="X140" t="s">
        <v>1585</v>
      </c>
      <c r="Y140" t="s">
        <v>1585</v>
      </c>
      <c r="Z140" t="s">
        <v>1585</v>
      </c>
      <c r="AA140" t="s">
        <v>1585</v>
      </c>
      <c r="AB140" t="s">
        <v>1585</v>
      </c>
      <c r="AE140" s="1"/>
      <c r="AF140" s="1"/>
      <c r="AG140" s="1"/>
      <c r="AH140" s="1"/>
      <c r="AI140" s="1"/>
      <c r="AJ140" s="1"/>
    </row>
    <row r="141" spans="1:36" ht="18.75" x14ac:dyDescent="0.25">
      <c r="A141" s="6">
        <f t="shared" si="4"/>
        <v>1</v>
      </c>
      <c r="B141" s="7" t="str">
        <f t="array" aca="1" ref="B141" ca="1">OFFSET(C141,,MATCH(TRUE,C141:AJ141&lt;&gt;"",0)-1)</f>
        <v xml:space="preserve"> Tomar una muestra del producto</v>
      </c>
      <c r="C141" t="s">
        <v>903</v>
      </c>
      <c r="D141" t="s">
        <v>1032</v>
      </c>
      <c r="E141" t="s">
        <v>1032</v>
      </c>
      <c r="F141" t="s">
        <v>1032</v>
      </c>
      <c r="G141" t="s">
        <v>1132</v>
      </c>
      <c r="H141" t="s">
        <v>903</v>
      </c>
      <c r="I141" t="s">
        <v>903</v>
      </c>
      <c r="J141" t="s">
        <v>1132</v>
      </c>
      <c r="K141" t="s">
        <v>1279</v>
      </c>
      <c r="L141" t="s">
        <v>1279</v>
      </c>
      <c r="M141" t="s">
        <v>1412</v>
      </c>
      <c r="N141" t="s">
        <v>1586</v>
      </c>
      <c r="O141" t="s">
        <v>1586</v>
      </c>
      <c r="P141" t="s">
        <v>1586</v>
      </c>
      <c r="Q141" t="s">
        <v>1586</v>
      </c>
      <c r="R141" t="s">
        <v>1586</v>
      </c>
      <c r="S141" t="s">
        <v>1586</v>
      </c>
      <c r="T141" t="s">
        <v>1586</v>
      </c>
      <c r="U141" t="s">
        <v>1586</v>
      </c>
      <c r="V141" t="s">
        <v>1586</v>
      </c>
      <c r="W141" t="s">
        <v>1586</v>
      </c>
      <c r="X141" t="s">
        <v>1586</v>
      </c>
      <c r="Y141" t="s">
        <v>1586</v>
      </c>
      <c r="Z141" t="s">
        <v>1586</v>
      </c>
      <c r="AA141" t="s">
        <v>1586</v>
      </c>
      <c r="AB141" t="s">
        <v>1586</v>
      </c>
      <c r="AD141" s="1"/>
    </row>
    <row r="142" spans="1:36" ht="18.75" x14ac:dyDescent="0.25">
      <c r="A142" s="6">
        <f t="shared" si="4"/>
        <v>1</v>
      </c>
      <c r="B142" s="7" t="str">
        <f t="array" aca="1" ref="B142" ca="1">OFFSET(C142,,MATCH(TRUE,C142:AJ142&lt;&gt;"",0)-1)</f>
        <v xml:space="preserve"> Interrumpir producción</v>
      </c>
      <c r="C142" t="s">
        <v>904</v>
      </c>
      <c r="D142" t="s">
        <v>1033</v>
      </c>
      <c r="E142" t="s">
        <v>1033</v>
      </c>
      <c r="F142" t="s">
        <v>1033</v>
      </c>
      <c r="G142" t="s">
        <v>904</v>
      </c>
      <c r="H142" t="s">
        <v>904</v>
      </c>
      <c r="I142" t="s">
        <v>904</v>
      </c>
      <c r="J142" t="s">
        <v>904</v>
      </c>
      <c r="K142" t="s">
        <v>1280</v>
      </c>
      <c r="L142" t="s">
        <v>1280</v>
      </c>
      <c r="M142" t="s">
        <v>1280</v>
      </c>
      <c r="N142" t="s">
        <v>1587</v>
      </c>
      <c r="O142" t="s">
        <v>1587</v>
      </c>
      <c r="P142" t="s">
        <v>1587</v>
      </c>
      <c r="Q142" t="s">
        <v>1587</v>
      </c>
      <c r="R142" t="s">
        <v>1587</v>
      </c>
      <c r="S142" t="s">
        <v>1587</v>
      </c>
      <c r="T142" t="s">
        <v>1587</v>
      </c>
      <c r="U142" t="s">
        <v>1587</v>
      </c>
      <c r="V142" t="s">
        <v>1587</v>
      </c>
      <c r="W142" t="s">
        <v>1587</v>
      </c>
      <c r="X142" t="s">
        <v>1587</v>
      </c>
      <c r="Y142" t="s">
        <v>1587</v>
      </c>
      <c r="Z142" t="s">
        <v>1587</v>
      </c>
      <c r="AA142" t="s">
        <v>1587</v>
      </c>
      <c r="AB142" t="s">
        <v>1587</v>
      </c>
    </row>
    <row r="143" spans="1:36" ht="18.75" x14ac:dyDescent="0.25">
      <c r="A143" s="6">
        <f t="shared" si="4"/>
        <v>1</v>
      </c>
      <c r="B143" s="7" t="str">
        <f t="array" aca="1" ref="B143" ca="1">OFFSET(C143,,MATCH(TRUE,C143:AJ143&lt;&gt;"",0)-1)</f>
        <v xml:space="preserve"> Lavado intermedio</v>
      </c>
      <c r="C143" t="s">
        <v>905</v>
      </c>
      <c r="D143" t="s">
        <v>905</v>
      </c>
      <c r="E143" t="s">
        <v>905</v>
      </c>
      <c r="F143" t="s">
        <v>905</v>
      </c>
      <c r="G143" t="s">
        <v>905</v>
      </c>
      <c r="H143" t="s">
        <v>1169</v>
      </c>
      <c r="I143" t="s">
        <v>1169</v>
      </c>
      <c r="J143" t="s">
        <v>1169</v>
      </c>
      <c r="K143" t="s">
        <v>1281</v>
      </c>
      <c r="L143" t="s">
        <v>1281</v>
      </c>
      <c r="M143" t="s">
        <v>1413</v>
      </c>
      <c r="N143" t="s">
        <v>1588</v>
      </c>
      <c r="O143" t="s">
        <v>1588</v>
      </c>
      <c r="P143" t="s">
        <v>1588</v>
      </c>
      <c r="Q143" t="s">
        <v>1588</v>
      </c>
      <c r="R143" t="s">
        <v>1588</v>
      </c>
      <c r="S143" t="s">
        <v>1588</v>
      </c>
      <c r="T143" t="s">
        <v>1588</v>
      </c>
      <c r="U143" t="s">
        <v>1588</v>
      </c>
      <c r="V143" t="s">
        <v>1588</v>
      </c>
      <c r="W143" t="s">
        <v>1588</v>
      </c>
      <c r="X143" t="s">
        <v>1588</v>
      </c>
      <c r="Y143" t="s">
        <v>1588</v>
      </c>
      <c r="Z143" t="s">
        <v>1588</v>
      </c>
      <c r="AA143" t="s">
        <v>1588</v>
      </c>
      <c r="AB143" t="s">
        <v>1588</v>
      </c>
    </row>
    <row r="144" spans="1:36" ht="18.75" x14ac:dyDescent="0.25">
      <c r="A144" s="6">
        <f t="shared" si="4"/>
        <v>0.23076923076923073</v>
      </c>
      <c r="B144" s="7" t="str">
        <f t="array" aca="1" ref="B144" ca="1">OFFSET(C144,,MATCH(TRUE,C144:AJ144&lt;&gt;"",0)-1)</f>
        <v xml:space="preserve"> Acceso a la sala blanca</v>
      </c>
      <c r="E144" t="s">
        <v>1097</v>
      </c>
      <c r="P144" t="s">
        <v>1693</v>
      </c>
      <c r="S144" t="s">
        <v>1693</v>
      </c>
      <c r="T144" t="s">
        <v>1693</v>
      </c>
      <c r="X144" t="s">
        <v>1693</v>
      </c>
      <c r="AB144" t="s">
        <v>1693</v>
      </c>
    </row>
    <row r="145" spans="1:29" ht="18.75" x14ac:dyDescent="0.25">
      <c r="A145" s="6">
        <f t="shared" si="4"/>
        <v>1</v>
      </c>
      <c r="B145" s="7" t="str">
        <f t="array" aca="1" ref="B145" ca="1">OFFSET(C145,,MATCH(TRUE,C145:AJ145&lt;&gt;"",0)-1)</f>
        <v xml:space="preserve"> Finalizar la producción</v>
      </c>
      <c r="C145" t="s">
        <v>906</v>
      </c>
      <c r="D145" t="s">
        <v>1034</v>
      </c>
      <c r="E145" t="s">
        <v>1034</v>
      </c>
      <c r="F145" t="s">
        <v>1034</v>
      </c>
      <c r="G145" t="s">
        <v>906</v>
      </c>
      <c r="H145" t="s">
        <v>906</v>
      </c>
      <c r="I145" t="s">
        <v>906</v>
      </c>
      <c r="J145" t="s">
        <v>906</v>
      </c>
      <c r="K145" t="s">
        <v>1282</v>
      </c>
      <c r="L145" t="s">
        <v>1282</v>
      </c>
      <c r="M145" t="s">
        <v>1414</v>
      </c>
      <c r="N145" t="s">
        <v>1589</v>
      </c>
      <c r="O145" t="s">
        <v>1589</v>
      </c>
      <c r="P145" t="s">
        <v>1589</v>
      </c>
      <c r="Q145" t="s">
        <v>1589</v>
      </c>
      <c r="R145" t="s">
        <v>1589</v>
      </c>
      <c r="S145" t="s">
        <v>1589</v>
      </c>
      <c r="T145" t="s">
        <v>1589</v>
      </c>
      <c r="U145" t="s">
        <v>1589</v>
      </c>
      <c r="V145" t="s">
        <v>1589</v>
      </c>
      <c r="W145" t="s">
        <v>1589</v>
      </c>
      <c r="X145" t="s">
        <v>1589</v>
      </c>
      <c r="Y145" t="s">
        <v>1589</v>
      </c>
      <c r="Z145" t="s">
        <v>1589</v>
      </c>
      <c r="AA145" t="s">
        <v>1589</v>
      </c>
      <c r="AB145" t="s">
        <v>1589</v>
      </c>
    </row>
    <row r="146" spans="1:29" ht="18.75" x14ac:dyDescent="0.25">
      <c r="A146" s="6">
        <f t="shared" si="4"/>
        <v>3.8461538461538436E-2</v>
      </c>
      <c r="B146" s="7" t="str">
        <f t="array" aca="1" ref="B146" ca="1">OFFSET(C146,,MATCH(TRUE,C146:AJ146&lt;&gt;"",0)-1)</f>
        <v xml:space="preserve"> Automatic steaming</v>
      </c>
      <c r="Z146" t="s">
        <v>1758</v>
      </c>
    </row>
    <row r="147" spans="1:29" ht="18.75" x14ac:dyDescent="0.25">
      <c r="A147" s="6">
        <f t="shared" si="4"/>
        <v>1</v>
      </c>
      <c r="B147" s="7" t="str">
        <f t="array" aca="1" ref="B147" ca="1">OFFSET(C147,,MATCH(TRUE,C147:AJ147&lt;&gt;"",0)-1)</f>
        <v xml:space="preserve"> Limpieza</v>
      </c>
      <c r="C147" t="s">
        <v>907</v>
      </c>
      <c r="D147" t="s">
        <v>907</v>
      </c>
      <c r="E147" t="s">
        <v>907</v>
      </c>
      <c r="F147" t="s">
        <v>907</v>
      </c>
      <c r="G147" t="s">
        <v>907</v>
      </c>
      <c r="H147" t="s">
        <v>907</v>
      </c>
      <c r="I147" t="s">
        <v>907</v>
      </c>
      <c r="J147" t="s">
        <v>907</v>
      </c>
      <c r="K147" t="s">
        <v>1283</v>
      </c>
      <c r="L147" t="s">
        <v>1283</v>
      </c>
      <c r="M147" s="1" t="s">
        <v>1283</v>
      </c>
      <c r="N147" t="s">
        <v>1590</v>
      </c>
      <c r="O147" t="s">
        <v>1590</v>
      </c>
      <c r="P147" t="s">
        <v>1590</v>
      </c>
      <c r="Q147" t="s">
        <v>1590</v>
      </c>
      <c r="R147" t="s">
        <v>1590</v>
      </c>
      <c r="S147" t="s">
        <v>1590</v>
      </c>
      <c r="T147" t="s">
        <v>1590</v>
      </c>
      <c r="U147" t="s">
        <v>1590</v>
      </c>
      <c r="V147" t="s">
        <v>1590</v>
      </c>
      <c r="W147" t="s">
        <v>1590</v>
      </c>
      <c r="X147" t="s">
        <v>1590</v>
      </c>
      <c r="Y147" t="s">
        <v>1590</v>
      </c>
      <c r="Z147" t="s">
        <v>1590</v>
      </c>
      <c r="AA147" t="s">
        <v>1590</v>
      </c>
      <c r="AB147" t="s">
        <v>1590</v>
      </c>
    </row>
    <row r="148" spans="1:29" ht="18.75" x14ac:dyDescent="0.25">
      <c r="A148" s="6">
        <f t="shared" si="4"/>
        <v>1</v>
      </c>
      <c r="B148" s="7" t="str">
        <f t="array" aca="1" ref="B148" ca="1">OFFSET(C148,,MATCH(TRUE,C148:AJ148&lt;&gt;"",0)-1)</f>
        <v xml:space="preserve"> Indicaciones de seguridad</v>
      </c>
      <c r="C148" t="s">
        <v>886</v>
      </c>
      <c r="D148" t="s">
        <v>886</v>
      </c>
      <c r="E148" t="s">
        <v>886</v>
      </c>
      <c r="F148" t="s">
        <v>886</v>
      </c>
      <c r="G148" t="s">
        <v>886</v>
      </c>
      <c r="H148" t="s">
        <v>1164</v>
      </c>
      <c r="I148" t="s">
        <v>1164</v>
      </c>
      <c r="J148" t="s">
        <v>1164</v>
      </c>
      <c r="K148" t="s">
        <v>1263</v>
      </c>
      <c r="L148" t="s">
        <v>1263</v>
      </c>
      <c r="M148" s="1" t="s">
        <v>1399</v>
      </c>
      <c r="N148" t="s">
        <v>1570</v>
      </c>
      <c r="O148" t="s">
        <v>1570</v>
      </c>
      <c r="P148" t="s">
        <v>1570</v>
      </c>
      <c r="Q148" t="s">
        <v>1570</v>
      </c>
      <c r="R148" t="s">
        <v>1570</v>
      </c>
      <c r="S148" t="s">
        <v>1570</v>
      </c>
      <c r="T148" t="s">
        <v>1570</v>
      </c>
      <c r="U148" t="s">
        <v>1570</v>
      </c>
      <c r="V148" t="s">
        <v>1570</v>
      </c>
      <c r="W148" t="s">
        <v>1570</v>
      </c>
      <c r="X148" t="s">
        <v>1570</v>
      </c>
      <c r="Y148" t="s">
        <v>1570</v>
      </c>
      <c r="Z148" t="s">
        <v>1570</v>
      </c>
      <c r="AA148" t="s">
        <v>1570</v>
      </c>
      <c r="AB148" t="s">
        <v>1570</v>
      </c>
      <c r="AC148" s="1"/>
    </row>
    <row r="149" spans="1:29" ht="18.75" x14ac:dyDescent="0.25">
      <c r="A149" s="6">
        <f t="shared" si="4"/>
        <v>1</v>
      </c>
      <c r="B149" s="7" t="str">
        <f t="array" aca="1" ref="B149" ca="1">OFFSET(C149,,MATCH(TRUE,C149:AJ149&lt;&gt;"",0)-1)</f>
        <v xml:space="preserve"> Requisitos preliminares</v>
      </c>
      <c r="C149" t="s">
        <v>899</v>
      </c>
      <c r="D149" t="s">
        <v>1028</v>
      </c>
      <c r="E149" t="s">
        <v>1028</v>
      </c>
      <c r="F149" t="s">
        <v>1028</v>
      </c>
      <c r="G149" t="s">
        <v>899</v>
      </c>
      <c r="H149" t="s">
        <v>899</v>
      </c>
      <c r="I149" t="s">
        <v>899</v>
      </c>
      <c r="J149" t="s">
        <v>899</v>
      </c>
      <c r="K149" t="s">
        <v>1275</v>
      </c>
      <c r="L149" t="s">
        <v>1028</v>
      </c>
      <c r="M149" t="s">
        <v>1275</v>
      </c>
      <c r="N149" t="s">
        <v>1591</v>
      </c>
      <c r="O149" t="s">
        <v>1591</v>
      </c>
      <c r="P149" t="s">
        <v>1591</v>
      </c>
      <c r="Q149" t="s">
        <v>1591</v>
      </c>
      <c r="R149" t="s">
        <v>1591</v>
      </c>
      <c r="S149" t="s">
        <v>1591</v>
      </c>
      <c r="T149" t="s">
        <v>1591</v>
      </c>
      <c r="U149" t="s">
        <v>1591</v>
      </c>
      <c r="V149" t="s">
        <v>1591</v>
      </c>
      <c r="W149" t="s">
        <v>1591</v>
      </c>
      <c r="X149" t="s">
        <v>1591</v>
      </c>
      <c r="Y149" t="s">
        <v>1591</v>
      </c>
      <c r="Z149" t="s">
        <v>1591</v>
      </c>
      <c r="AA149" t="s">
        <v>1591</v>
      </c>
      <c r="AB149" t="s">
        <v>1591</v>
      </c>
    </row>
    <row r="150" spans="1:29" ht="18.75" x14ac:dyDescent="0.25">
      <c r="A150" s="6">
        <f t="shared" si="4"/>
        <v>1</v>
      </c>
      <c r="B150" s="7" t="str">
        <f t="array" aca="1" ref="B150" ca="1">OFFSET(C150,,MATCH(TRUE,C150:AJ150&lt;&gt;"",0)-1)</f>
        <v xml:space="preserve"> Preparar</v>
      </c>
      <c r="C150" t="s">
        <v>908</v>
      </c>
      <c r="D150" t="s">
        <v>1035</v>
      </c>
      <c r="E150" t="s">
        <v>1035</v>
      </c>
      <c r="F150" t="s">
        <v>1035</v>
      </c>
      <c r="G150" t="s">
        <v>908</v>
      </c>
      <c r="H150" t="s">
        <v>908</v>
      </c>
      <c r="I150" t="s">
        <v>908</v>
      </c>
      <c r="J150" t="s">
        <v>908</v>
      </c>
      <c r="K150" t="s">
        <v>908</v>
      </c>
      <c r="L150" t="s">
        <v>908</v>
      </c>
      <c r="M150" t="s">
        <v>1409</v>
      </c>
      <c r="N150" t="s">
        <v>1592</v>
      </c>
      <c r="O150" t="s">
        <v>1592</v>
      </c>
      <c r="P150" t="s">
        <v>1592</v>
      </c>
      <c r="Q150" t="s">
        <v>1592</v>
      </c>
      <c r="R150" t="s">
        <v>1592</v>
      </c>
      <c r="S150" t="s">
        <v>1592</v>
      </c>
      <c r="T150" t="s">
        <v>1592</v>
      </c>
      <c r="U150" t="s">
        <v>1592</v>
      </c>
      <c r="V150" t="s">
        <v>1592</v>
      </c>
      <c r="W150" t="s">
        <v>1592</v>
      </c>
      <c r="X150" t="s">
        <v>1592</v>
      </c>
      <c r="Y150" t="s">
        <v>1592</v>
      </c>
      <c r="Z150" t="s">
        <v>1592</v>
      </c>
      <c r="AA150" t="s">
        <v>1592</v>
      </c>
      <c r="AB150" t="s">
        <v>1592</v>
      </c>
    </row>
    <row r="151" spans="1:29" ht="18.75" x14ac:dyDescent="0.25">
      <c r="A151" s="6">
        <f t="shared" si="4"/>
        <v>1</v>
      </c>
      <c r="B151" s="7" t="str">
        <f t="array" aca="1" ref="B151" ca="1">OFFSET(C151,,MATCH(TRUE,C151:AJ151&lt;&gt;"",0)-1)</f>
        <v xml:space="preserve"> Ejecución Llenadora</v>
      </c>
      <c r="C151" t="s">
        <v>909</v>
      </c>
      <c r="D151" t="s">
        <v>1036</v>
      </c>
      <c r="E151" t="s">
        <v>1036</v>
      </c>
      <c r="F151" t="s">
        <v>1115</v>
      </c>
      <c r="G151" t="s">
        <v>1133</v>
      </c>
      <c r="H151" t="s">
        <v>1133</v>
      </c>
      <c r="I151" t="s">
        <v>1133</v>
      </c>
      <c r="J151" t="s">
        <v>1133</v>
      </c>
      <c r="K151" t="s">
        <v>1284</v>
      </c>
      <c r="L151" t="s">
        <v>1356</v>
      </c>
      <c r="M151" t="s">
        <v>1356</v>
      </c>
      <c r="N151" t="s">
        <v>1593</v>
      </c>
      <c r="O151" t="s">
        <v>1593</v>
      </c>
      <c r="P151" t="s">
        <v>1593</v>
      </c>
      <c r="Q151" t="s">
        <v>1706</v>
      </c>
      <c r="R151" t="s">
        <v>1593</v>
      </c>
      <c r="S151" t="s">
        <v>1593</v>
      </c>
      <c r="T151" t="s">
        <v>1593</v>
      </c>
      <c r="U151" t="s">
        <v>1593</v>
      </c>
      <c r="V151" t="s">
        <v>1593</v>
      </c>
      <c r="W151" t="s">
        <v>1593</v>
      </c>
      <c r="X151" t="s">
        <v>1593</v>
      </c>
      <c r="Y151" t="s">
        <v>1749</v>
      </c>
      <c r="Z151" t="s">
        <v>1706</v>
      </c>
      <c r="AA151" t="s">
        <v>1706</v>
      </c>
      <c r="AB151" t="s">
        <v>1706</v>
      </c>
    </row>
    <row r="152" spans="1:29" ht="18.75" x14ac:dyDescent="0.25">
      <c r="A152" s="6">
        <f t="shared" si="4"/>
        <v>1</v>
      </c>
      <c r="B152" s="7" t="str">
        <f t="array" aca="1" ref="B152" ca="1">OFFSET(C152,,MATCH(TRUE,C152:AJ152&lt;&gt;"",0)-1)</f>
        <v xml:space="preserve"> Limpiar los accesorios</v>
      </c>
      <c r="C152" t="s">
        <v>910</v>
      </c>
      <c r="D152" t="s">
        <v>1037</v>
      </c>
      <c r="E152" t="s">
        <v>1037</v>
      </c>
      <c r="F152" t="s">
        <v>1037</v>
      </c>
      <c r="G152" t="s">
        <v>910</v>
      </c>
      <c r="H152" t="s">
        <v>910</v>
      </c>
      <c r="I152" t="s">
        <v>910</v>
      </c>
      <c r="J152" t="s">
        <v>910</v>
      </c>
      <c r="K152" t="s">
        <v>1285</v>
      </c>
      <c r="L152" t="s">
        <v>1285</v>
      </c>
      <c r="M152" t="s">
        <v>1415</v>
      </c>
      <c r="N152" t="s">
        <v>1594</v>
      </c>
      <c r="O152" t="s">
        <v>1594</v>
      </c>
      <c r="P152" t="s">
        <v>1594</v>
      </c>
      <c r="Q152" t="s">
        <v>1594</v>
      </c>
      <c r="R152" t="s">
        <v>1594</v>
      </c>
      <c r="S152" t="s">
        <v>1594</v>
      </c>
      <c r="T152" t="s">
        <v>1594</v>
      </c>
      <c r="U152" t="s">
        <v>1594</v>
      </c>
      <c r="V152" t="s">
        <v>1594</v>
      </c>
      <c r="W152" t="s">
        <v>1594</v>
      </c>
      <c r="X152" t="s">
        <v>1594</v>
      </c>
      <c r="Y152" t="s">
        <v>1594</v>
      </c>
      <c r="Z152" t="s">
        <v>1594</v>
      </c>
      <c r="AA152" t="s">
        <v>1594</v>
      </c>
      <c r="AB152" t="s">
        <v>1594</v>
      </c>
    </row>
    <row r="153" spans="1:29" ht="18.75" x14ac:dyDescent="0.25">
      <c r="A153" s="6">
        <f t="shared" si="4"/>
        <v>1</v>
      </c>
      <c r="B153" s="7" t="str">
        <f t="array" aca="1" ref="B153" ca="1">OFFSET(C153,,MATCH(TRUE,C153:AJ153&lt;&gt;"",0)-1)</f>
        <v xml:space="preserve"> Limpieza exterior de la máquina</v>
      </c>
      <c r="C153" t="s">
        <v>911</v>
      </c>
      <c r="D153" t="s">
        <v>911</v>
      </c>
      <c r="E153" t="s">
        <v>911</v>
      </c>
      <c r="F153" t="s">
        <v>911</v>
      </c>
      <c r="G153" t="s">
        <v>911</v>
      </c>
      <c r="H153" t="s">
        <v>911</v>
      </c>
      <c r="I153" t="s">
        <v>911</v>
      </c>
      <c r="J153" t="s">
        <v>911</v>
      </c>
      <c r="K153" t="s">
        <v>1286</v>
      </c>
      <c r="L153" t="s">
        <v>1357</v>
      </c>
      <c r="M153" t="s">
        <v>1416</v>
      </c>
      <c r="N153" t="s">
        <v>1595</v>
      </c>
      <c r="O153" t="s">
        <v>1595</v>
      </c>
      <c r="P153" t="s">
        <v>1595</v>
      </c>
      <c r="Q153" t="s">
        <v>1595</v>
      </c>
      <c r="R153" t="s">
        <v>1595</v>
      </c>
      <c r="S153" t="s">
        <v>1595</v>
      </c>
      <c r="T153" t="s">
        <v>1595</v>
      </c>
      <c r="U153" t="s">
        <v>1595</v>
      </c>
      <c r="V153" t="s">
        <v>1595</v>
      </c>
      <c r="W153" t="s">
        <v>1595</v>
      </c>
      <c r="X153" t="s">
        <v>1595</v>
      </c>
      <c r="Y153" t="s">
        <v>1595</v>
      </c>
      <c r="Z153" t="s">
        <v>1595</v>
      </c>
      <c r="AA153" t="s">
        <v>1595</v>
      </c>
      <c r="AB153" t="s">
        <v>1595</v>
      </c>
    </row>
    <row r="154" spans="1:29" ht="18.75" x14ac:dyDescent="0.25">
      <c r="A154" s="6">
        <f t="shared" si="4"/>
        <v>0.73076923076923084</v>
      </c>
      <c r="B154" s="7" t="str">
        <f t="array" aca="1" ref="B154" ca="1">OFFSET(C154,,MATCH(TRUE,C154:AJ154&lt;&gt;"",0)-1)</f>
        <v xml:space="preserve"> Iniciar limpieza exterior automática</v>
      </c>
      <c r="C154" t="s">
        <v>912</v>
      </c>
      <c r="D154" t="s">
        <v>1038</v>
      </c>
      <c r="E154" t="s">
        <v>1038</v>
      </c>
      <c r="G154" t="s">
        <v>912</v>
      </c>
      <c r="I154" t="s">
        <v>912</v>
      </c>
      <c r="J154" t="s">
        <v>912</v>
      </c>
      <c r="K154" t="s">
        <v>1287</v>
      </c>
      <c r="L154" t="s">
        <v>1358</v>
      </c>
      <c r="P154" t="s">
        <v>1695</v>
      </c>
      <c r="Q154" t="s">
        <v>1695</v>
      </c>
      <c r="S154" t="s">
        <v>1695</v>
      </c>
      <c r="T154" t="s">
        <v>1695</v>
      </c>
      <c r="U154" t="s">
        <v>1695</v>
      </c>
      <c r="V154" t="s">
        <v>1695</v>
      </c>
      <c r="W154" t="s">
        <v>1695</v>
      </c>
      <c r="X154" t="s">
        <v>1695</v>
      </c>
      <c r="Y154" t="s">
        <v>1695</v>
      </c>
      <c r="Z154" t="s">
        <v>1695</v>
      </c>
      <c r="AA154" t="s">
        <v>1695</v>
      </c>
    </row>
    <row r="155" spans="1:29" ht="18.75" x14ac:dyDescent="0.25">
      <c r="A155" s="6">
        <f t="shared" si="4"/>
        <v>1</v>
      </c>
      <c r="B155" s="7" t="str">
        <f t="array" aca="1" ref="B155" ca="1">OFFSET(C155,,MATCH(TRUE,C155:AJ155&lt;&gt;"",0)-1)</f>
        <v xml:space="preserve"> Equipar</v>
      </c>
      <c r="C155" t="s">
        <v>913</v>
      </c>
      <c r="D155" t="s">
        <v>1039</v>
      </c>
      <c r="E155" t="s">
        <v>1103</v>
      </c>
      <c r="F155" t="s">
        <v>1103</v>
      </c>
      <c r="G155" t="s">
        <v>913</v>
      </c>
      <c r="H155" t="s">
        <v>913</v>
      </c>
      <c r="I155" t="s">
        <v>913</v>
      </c>
      <c r="J155" t="s">
        <v>913</v>
      </c>
      <c r="K155" t="s">
        <v>913</v>
      </c>
      <c r="L155" t="s">
        <v>913</v>
      </c>
      <c r="M155" t="s">
        <v>908</v>
      </c>
      <c r="N155" t="s">
        <v>1596</v>
      </c>
      <c r="O155" t="s">
        <v>1672</v>
      </c>
      <c r="P155" t="s">
        <v>1596</v>
      </c>
      <c r="Q155" t="s">
        <v>1596</v>
      </c>
      <c r="R155" t="s">
        <v>1672</v>
      </c>
      <c r="S155" t="s">
        <v>1672</v>
      </c>
      <c r="T155" t="s">
        <v>1672</v>
      </c>
      <c r="U155" t="s">
        <v>1672</v>
      </c>
      <c r="V155" t="s">
        <v>1672</v>
      </c>
      <c r="W155" t="s">
        <v>1672</v>
      </c>
      <c r="X155" t="s">
        <v>1672</v>
      </c>
      <c r="Y155" t="s">
        <v>1596</v>
      </c>
      <c r="Z155" t="s">
        <v>1596</v>
      </c>
      <c r="AA155" t="s">
        <v>1596</v>
      </c>
      <c r="AB155" t="s">
        <v>1596</v>
      </c>
    </row>
    <row r="156" spans="1:29" ht="18.75" x14ac:dyDescent="0.25">
      <c r="A156" s="6">
        <f t="shared" si="4"/>
        <v>1</v>
      </c>
      <c r="B156" s="7" t="str">
        <f t="array" aca="1" ref="B156" ca="1">OFFSET(C156,,MATCH(TRUE,C156:AJ156&lt;&gt;"",0)-1)</f>
        <v xml:space="preserve"> Indicaciones de seguridad</v>
      </c>
      <c r="C156" t="s">
        <v>886</v>
      </c>
      <c r="D156" t="s">
        <v>886</v>
      </c>
      <c r="E156" t="s">
        <v>886</v>
      </c>
      <c r="F156" t="s">
        <v>886</v>
      </c>
      <c r="G156" t="s">
        <v>886</v>
      </c>
      <c r="H156" t="s">
        <v>1164</v>
      </c>
      <c r="I156" t="s">
        <v>1164</v>
      </c>
      <c r="J156" t="s">
        <v>1164</v>
      </c>
      <c r="K156" t="s">
        <v>1263</v>
      </c>
      <c r="L156" t="s">
        <v>1263</v>
      </c>
      <c r="M156" t="s">
        <v>1399</v>
      </c>
      <c r="N156" t="s">
        <v>1570</v>
      </c>
      <c r="O156" t="s">
        <v>1570</v>
      </c>
      <c r="P156" t="s">
        <v>1570</v>
      </c>
      <c r="Q156" t="s">
        <v>1570</v>
      </c>
      <c r="R156" t="s">
        <v>1570</v>
      </c>
      <c r="S156" t="s">
        <v>1570</v>
      </c>
      <c r="T156" t="s">
        <v>1570</v>
      </c>
      <c r="U156" t="s">
        <v>1570</v>
      </c>
      <c r="V156" t="s">
        <v>1570</v>
      </c>
      <c r="W156" t="s">
        <v>1570</v>
      </c>
      <c r="X156" t="s">
        <v>1570</v>
      </c>
      <c r="Y156" t="s">
        <v>1570</v>
      </c>
      <c r="Z156" t="s">
        <v>1570</v>
      </c>
      <c r="AA156" t="s">
        <v>1570</v>
      </c>
      <c r="AB156" t="s">
        <v>1570</v>
      </c>
    </row>
    <row r="157" spans="1:29" ht="18.75" x14ac:dyDescent="0.25">
      <c r="A157" s="6">
        <f t="shared" si="4"/>
        <v>0.96153846153846156</v>
      </c>
      <c r="B157" s="7" t="str">
        <f t="array" aca="1" ref="B157" ca="1">OFFSET(C157,,MATCH(TRUE,C157:AJ157&lt;&gt;"",0)-1)</f>
        <v xml:space="preserve"> Preparar</v>
      </c>
      <c r="C157" t="s">
        <v>908</v>
      </c>
      <c r="D157" t="s">
        <v>1035</v>
      </c>
      <c r="E157" t="s">
        <v>1035</v>
      </c>
      <c r="F157" t="s">
        <v>1035</v>
      </c>
      <c r="G157" t="s">
        <v>908</v>
      </c>
      <c r="H157" t="s">
        <v>908</v>
      </c>
      <c r="I157" t="s">
        <v>908</v>
      </c>
      <c r="J157" t="s">
        <v>908</v>
      </c>
      <c r="K157" t="s">
        <v>908</v>
      </c>
      <c r="L157" t="s">
        <v>908</v>
      </c>
      <c r="N157" t="s">
        <v>1592</v>
      </c>
      <c r="O157" t="s">
        <v>1592</v>
      </c>
      <c r="P157" t="s">
        <v>1592</v>
      </c>
      <c r="Q157" t="s">
        <v>1592</v>
      </c>
      <c r="R157" t="s">
        <v>1592</v>
      </c>
      <c r="S157" t="s">
        <v>1592</v>
      </c>
      <c r="T157" t="s">
        <v>1592</v>
      </c>
      <c r="U157" t="s">
        <v>1592</v>
      </c>
      <c r="V157" t="s">
        <v>1592</v>
      </c>
      <c r="W157" t="s">
        <v>1592</v>
      </c>
      <c r="X157" t="s">
        <v>1592</v>
      </c>
      <c r="Y157" t="s">
        <v>1592</v>
      </c>
      <c r="Z157" t="s">
        <v>1592</v>
      </c>
      <c r="AA157" t="s">
        <v>1592</v>
      </c>
      <c r="AB157" t="s">
        <v>1592</v>
      </c>
    </row>
    <row r="158" spans="1:29" ht="18.75" x14ac:dyDescent="0.25">
      <c r="A158" s="6">
        <f t="shared" si="4"/>
        <v>0.96153846153846156</v>
      </c>
      <c r="B158" s="7" t="str">
        <f t="array" aca="1" ref="B158" ca="1">OFFSET(C158,,MATCH(TRUE,C158:AJ158&lt;&gt;"",0)-1)</f>
        <v xml:space="preserve"> Vaciar</v>
      </c>
      <c r="C158" t="s">
        <v>914</v>
      </c>
      <c r="D158" t="s">
        <v>1040</v>
      </c>
      <c r="E158" t="s">
        <v>1040</v>
      </c>
      <c r="F158" t="s">
        <v>1040</v>
      </c>
      <c r="G158" t="s">
        <v>914</v>
      </c>
      <c r="H158" t="s">
        <v>927</v>
      </c>
      <c r="I158" t="s">
        <v>927</v>
      </c>
      <c r="J158" t="s">
        <v>927</v>
      </c>
      <c r="K158" t="s">
        <v>1288</v>
      </c>
      <c r="L158" t="s">
        <v>1288</v>
      </c>
      <c r="N158" t="s">
        <v>1597</v>
      </c>
      <c r="O158" t="s">
        <v>1597</v>
      </c>
      <c r="P158" t="s">
        <v>1597</v>
      </c>
      <c r="Q158" t="s">
        <v>1597</v>
      </c>
      <c r="R158" t="s">
        <v>1597</v>
      </c>
      <c r="S158" t="s">
        <v>1597</v>
      </c>
      <c r="T158" t="s">
        <v>1597</v>
      </c>
      <c r="U158" t="s">
        <v>1724</v>
      </c>
      <c r="V158" t="s">
        <v>1597</v>
      </c>
      <c r="W158" t="s">
        <v>1597</v>
      </c>
      <c r="X158" t="s">
        <v>1597</v>
      </c>
      <c r="Y158" t="s">
        <v>1750</v>
      </c>
      <c r="Z158" t="s">
        <v>1597</v>
      </c>
      <c r="AA158" t="s">
        <v>1597</v>
      </c>
      <c r="AB158" t="s">
        <v>1597</v>
      </c>
    </row>
    <row r="159" spans="1:29" ht="18.75" x14ac:dyDescent="0.25">
      <c r="A159" s="6">
        <f t="shared" si="4"/>
        <v>0.84615384615384615</v>
      </c>
      <c r="B159" s="7" t="str">
        <f t="array" aca="1" ref="B159" ca="1">OFFSET(C159,,MATCH(TRUE,C159:AJ159&lt;&gt;"",0)-1)</f>
        <v xml:space="preserve"> Lavado intermedio</v>
      </c>
      <c r="C159" t="s">
        <v>905</v>
      </c>
      <c r="D159" t="s">
        <v>905</v>
      </c>
      <c r="E159" t="s">
        <v>905</v>
      </c>
      <c r="G159" t="s">
        <v>905</v>
      </c>
      <c r="H159" t="s">
        <v>1169</v>
      </c>
      <c r="I159" t="s">
        <v>1169</v>
      </c>
      <c r="J159" t="s">
        <v>1169</v>
      </c>
      <c r="K159" t="s">
        <v>1281</v>
      </c>
      <c r="L159" t="s">
        <v>1281</v>
      </c>
      <c r="N159" t="s">
        <v>1588</v>
      </c>
      <c r="O159" t="s">
        <v>1588</v>
      </c>
      <c r="Q159" t="s">
        <v>1588</v>
      </c>
      <c r="R159" t="s">
        <v>1588</v>
      </c>
      <c r="S159" t="s">
        <v>1588</v>
      </c>
      <c r="T159" t="s">
        <v>1588</v>
      </c>
      <c r="U159" t="s">
        <v>1588</v>
      </c>
      <c r="V159" t="s">
        <v>1588</v>
      </c>
      <c r="W159" t="s">
        <v>1588</v>
      </c>
      <c r="Y159" t="s">
        <v>1588</v>
      </c>
      <c r="Z159" t="s">
        <v>1588</v>
      </c>
      <c r="AA159" t="s">
        <v>1588</v>
      </c>
      <c r="AB159" t="s">
        <v>1588</v>
      </c>
    </row>
    <row r="160" spans="1:29" ht="18.75" x14ac:dyDescent="0.25">
      <c r="A160" s="6">
        <f t="shared" si="4"/>
        <v>1</v>
      </c>
      <c r="B160" s="7" t="str">
        <f t="array" aca="1" ref="B160" ca="1">OFFSET(C160,,MATCH(TRUE,C160:AJ160&lt;&gt;"",0)-1)</f>
        <v xml:space="preserve"> Ajustar la altura de limpieza</v>
      </c>
      <c r="C160" t="s">
        <v>915</v>
      </c>
      <c r="D160" t="s">
        <v>1041</v>
      </c>
      <c r="E160" t="s">
        <v>1041</v>
      </c>
      <c r="F160" t="s">
        <v>1041</v>
      </c>
      <c r="G160" t="s">
        <v>915</v>
      </c>
      <c r="H160" t="s">
        <v>915</v>
      </c>
      <c r="I160" t="s">
        <v>915</v>
      </c>
      <c r="J160" t="s">
        <v>915</v>
      </c>
      <c r="K160" t="s">
        <v>1289</v>
      </c>
      <c r="L160" t="s">
        <v>1289</v>
      </c>
      <c r="M160" t="s">
        <v>946</v>
      </c>
      <c r="N160" t="s">
        <v>1598</v>
      </c>
      <c r="O160" t="s">
        <v>1598</v>
      </c>
      <c r="P160" t="s">
        <v>1696</v>
      </c>
      <c r="Q160" t="s">
        <v>1696</v>
      </c>
      <c r="R160" t="s">
        <v>1598</v>
      </c>
      <c r="S160" t="s">
        <v>1598</v>
      </c>
      <c r="T160" t="s">
        <v>1598</v>
      </c>
      <c r="U160" t="s">
        <v>1696</v>
      </c>
      <c r="V160" t="s">
        <v>1696</v>
      </c>
      <c r="W160" t="s">
        <v>1696</v>
      </c>
      <c r="X160" t="s">
        <v>1696</v>
      </c>
      <c r="Y160" t="s">
        <v>1696</v>
      </c>
      <c r="Z160" t="s">
        <v>1696</v>
      </c>
      <c r="AA160" t="s">
        <v>1696</v>
      </c>
      <c r="AB160" t="s">
        <v>1696</v>
      </c>
    </row>
    <row r="161" spans="1:38" ht="18.75" x14ac:dyDescent="0.25">
      <c r="A161" s="6">
        <f t="shared" si="4"/>
        <v>1</v>
      </c>
      <c r="B161" s="7" t="str">
        <f t="array" aca="1" ref="B161" ca="1">OFFSET(C161,,MATCH(TRUE,C161:AJ161&lt;&gt;"",0)-1)</f>
        <v xml:space="preserve"> Cambio de las piezas de formato</v>
      </c>
      <c r="C161" t="s">
        <v>916</v>
      </c>
      <c r="D161" t="s">
        <v>1042</v>
      </c>
      <c r="E161" t="s">
        <v>1042</v>
      </c>
      <c r="F161" t="s">
        <v>1042</v>
      </c>
      <c r="G161" t="s">
        <v>916</v>
      </c>
      <c r="H161" t="s">
        <v>916</v>
      </c>
      <c r="I161" t="s">
        <v>916</v>
      </c>
      <c r="J161" t="s">
        <v>916</v>
      </c>
      <c r="K161" t="s">
        <v>1290</v>
      </c>
      <c r="L161" t="s">
        <v>1290</v>
      </c>
      <c r="M161" t="s">
        <v>1417</v>
      </c>
      <c r="N161" t="s">
        <v>1599</v>
      </c>
      <c r="O161" t="s">
        <v>1599</v>
      </c>
      <c r="P161" t="s">
        <v>1599</v>
      </c>
      <c r="Q161" t="s">
        <v>1599</v>
      </c>
      <c r="R161" t="s">
        <v>1599</v>
      </c>
      <c r="S161" t="s">
        <v>1599</v>
      </c>
      <c r="T161" t="s">
        <v>1599</v>
      </c>
      <c r="U161" t="s">
        <v>1599</v>
      </c>
      <c r="V161" t="s">
        <v>1599</v>
      </c>
      <c r="W161" t="s">
        <v>1599</v>
      </c>
      <c r="X161" t="s">
        <v>1599</v>
      </c>
      <c r="Y161" t="s">
        <v>1599</v>
      </c>
      <c r="Z161" t="s">
        <v>1599</v>
      </c>
      <c r="AA161" t="s">
        <v>1599</v>
      </c>
      <c r="AB161" t="s">
        <v>1599</v>
      </c>
    </row>
    <row r="162" spans="1:38" ht="18.75" x14ac:dyDescent="0.25">
      <c r="A162" s="6">
        <f t="shared" si="4"/>
        <v>3.8461538461538436E-2</v>
      </c>
      <c r="B162" s="7" t="str">
        <f t="array" aca="1" ref="B162" ca="1">OFFSET(C162,,MATCH(TRUE,C162:AJ162&lt;&gt;"",0)-1)</f>
        <v xml:space="preserve"> Distributor</v>
      </c>
      <c r="N162" t="s">
        <v>1536</v>
      </c>
      <c r="AE162" s="1"/>
      <c r="AF162" s="1"/>
      <c r="AG162" s="1"/>
      <c r="AH162" s="1"/>
      <c r="AI162" s="1"/>
      <c r="AJ162" s="1"/>
      <c r="AK162" s="1"/>
      <c r="AL162" s="1"/>
    </row>
    <row r="163" spans="1:38" ht="18.75" x14ac:dyDescent="0.25">
      <c r="A163" s="6">
        <f t="shared" si="4"/>
        <v>1</v>
      </c>
      <c r="B163" s="7" t="str">
        <f t="array" aca="1" ref="B163" ca="1">OFFSET(C163,,MATCH(TRUE,C163:AJ163&lt;&gt;"",0)-1)</f>
        <v xml:space="preserve"> Válvula de llenado</v>
      </c>
      <c r="C163" t="s">
        <v>847</v>
      </c>
      <c r="D163" t="s">
        <v>847</v>
      </c>
      <c r="E163" t="s">
        <v>847</v>
      </c>
      <c r="F163" t="s">
        <v>847</v>
      </c>
      <c r="G163" t="s">
        <v>847</v>
      </c>
      <c r="H163" t="s">
        <v>847</v>
      </c>
      <c r="I163" t="s">
        <v>847</v>
      </c>
      <c r="J163" t="s">
        <v>847</v>
      </c>
      <c r="K163" t="s">
        <v>1227</v>
      </c>
      <c r="L163" t="s">
        <v>1227</v>
      </c>
      <c r="M163" t="s">
        <v>1418</v>
      </c>
      <c r="N163" t="s">
        <v>1529</v>
      </c>
      <c r="O163" t="s">
        <v>1529</v>
      </c>
      <c r="P163" t="s">
        <v>1529</v>
      </c>
      <c r="Q163" t="s">
        <v>1529</v>
      </c>
      <c r="R163" t="s">
        <v>1529</v>
      </c>
      <c r="S163" t="s">
        <v>1529</v>
      </c>
      <c r="T163" t="s">
        <v>1529</v>
      </c>
      <c r="U163" t="s">
        <v>1529</v>
      </c>
      <c r="V163" t="s">
        <v>1529</v>
      </c>
      <c r="W163" t="s">
        <v>1529</v>
      </c>
      <c r="X163" t="s">
        <v>1529</v>
      </c>
      <c r="Y163" t="s">
        <v>1529</v>
      </c>
      <c r="Z163" t="s">
        <v>1529</v>
      </c>
      <c r="AA163" t="s">
        <v>1529</v>
      </c>
      <c r="AB163" t="s">
        <v>1529</v>
      </c>
      <c r="AD163" s="1"/>
    </row>
    <row r="164" spans="1:38" ht="18.75" x14ac:dyDescent="0.25">
      <c r="A164" s="6">
        <f t="shared" si="4"/>
        <v>0.88461538461538458</v>
      </c>
      <c r="B164" s="7" t="str">
        <f t="array" aca="1" ref="B164" ca="1">OFFSET(C164,,MATCH(TRUE,C164:AJ164&lt;&gt;"",0)-1)</f>
        <v xml:space="preserve"> Tapadora de tapas corona</v>
      </c>
      <c r="C164" t="s">
        <v>850</v>
      </c>
      <c r="D164" t="s">
        <v>1005</v>
      </c>
      <c r="E164" t="s">
        <v>1093</v>
      </c>
      <c r="F164" t="s">
        <v>1093</v>
      </c>
      <c r="G164" t="s">
        <v>850</v>
      </c>
      <c r="H164" t="s">
        <v>850</v>
      </c>
      <c r="I164" t="s">
        <v>850</v>
      </c>
      <c r="J164" t="s">
        <v>850</v>
      </c>
      <c r="K164" t="s">
        <v>1231</v>
      </c>
      <c r="L164" t="s">
        <v>1231</v>
      </c>
      <c r="M164" t="s">
        <v>1392</v>
      </c>
      <c r="N164" t="s">
        <v>1533</v>
      </c>
      <c r="O164" t="s">
        <v>1533</v>
      </c>
      <c r="Q164" t="s">
        <v>1533</v>
      </c>
      <c r="R164" t="s">
        <v>1533</v>
      </c>
      <c r="S164" t="s">
        <v>1533</v>
      </c>
      <c r="T164" t="s">
        <v>1533</v>
      </c>
      <c r="U164" t="s">
        <v>1533</v>
      </c>
      <c r="V164" t="s">
        <v>1533</v>
      </c>
      <c r="W164" t="s">
        <v>1533</v>
      </c>
      <c r="Y164" t="s">
        <v>1533</v>
      </c>
      <c r="Z164" t="s">
        <v>1533</v>
      </c>
      <c r="AB164" t="s">
        <v>1533</v>
      </c>
    </row>
    <row r="165" spans="1:38" ht="18.75" x14ac:dyDescent="0.25">
      <c r="A165" s="6">
        <f t="shared" si="4"/>
        <v>3.8461538461538436E-2</v>
      </c>
      <c r="B165" s="7" t="str">
        <f t="array" aca="1" ref="B165" ca="1">OFFSET(C165,,MATCH(TRUE,C165:AJ165&lt;&gt;"",0)-1)</f>
        <v xml:space="preserve"> Ring crown capper</v>
      </c>
      <c r="Z165" t="s">
        <v>1759</v>
      </c>
    </row>
    <row r="166" spans="1:38" ht="18.75" x14ac:dyDescent="0.25">
      <c r="A166" s="6">
        <f t="shared" si="4"/>
        <v>0.23076923076923073</v>
      </c>
      <c r="B166" s="7" t="str">
        <f t="array" aca="1" ref="B166" ca="1">OFFSET(C166,,MATCH(TRUE,C166:AJ166&lt;&gt;"",0)-1)</f>
        <v xml:space="preserve"> Tapadora de tapas a rosca</v>
      </c>
      <c r="H166" t="s">
        <v>1160</v>
      </c>
      <c r="N166" t="s">
        <v>1534</v>
      </c>
      <c r="P166" t="s">
        <v>1534</v>
      </c>
      <c r="X166" t="s">
        <v>1534</v>
      </c>
      <c r="Z166" t="s">
        <v>1534</v>
      </c>
      <c r="AA166" t="s">
        <v>1534</v>
      </c>
      <c r="AE166" s="1"/>
      <c r="AF166" s="1"/>
      <c r="AG166" s="1"/>
      <c r="AH166" s="1"/>
      <c r="AI166" s="1"/>
      <c r="AJ166" s="1"/>
      <c r="AK166" s="1"/>
    </row>
    <row r="167" spans="1:38" ht="18.75" x14ac:dyDescent="0.25">
      <c r="A167" s="6">
        <f t="shared" si="4"/>
        <v>0.80769230769230771</v>
      </c>
      <c r="B167" s="7" t="str">
        <f t="array" aca="1" ref="B167" ca="1">OFFSET(C167,,MATCH(TRUE,C167:AJ167&lt;&gt;"",0)-1)</f>
        <v xml:space="preserve"> Ducha de botellas</v>
      </c>
      <c r="C167" t="s">
        <v>851</v>
      </c>
      <c r="D167" t="s">
        <v>1043</v>
      </c>
      <c r="E167" t="s">
        <v>851</v>
      </c>
      <c r="G167" t="s">
        <v>851</v>
      </c>
      <c r="H167" t="s">
        <v>851</v>
      </c>
      <c r="I167" t="s">
        <v>851</v>
      </c>
      <c r="J167" t="s">
        <v>851</v>
      </c>
      <c r="K167" t="s">
        <v>1232</v>
      </c>
      <c r="L167" t="s">
        <v>1232</v>
      </c>
      <c r="M167" t="s">
        <v>1394</v>
      </c>
      <c r="N167" t="s">
        <v>1535</v>
      </c>
      <c r="O167" t="s">
        <v>1535</v>
      </c>
      <c r="R167" t="s">
        <v>1535</v>
      </c>
      <c r="S167" t="s">
        <v>1535</v>
      </c>
      <c r="T167" t="s">
        <v>1535</v>
      </c>
      <c r="U167" t="s">
        <v>1535</v>
      </c>
      <c r="V167" t="s">
        <v>1535</v>
      </c>
      <c r="W167" t="s">
        <v>1535</v>
      </c>
      <c r="Y167" t="s">
        <v>1535</v>
      </c>
      <c r="Z167" t="s">
        <v>1535</v>
      </c>
      <c r="AB167" t="s">
        <v>1535</v>
      </c>
      <c r="AD167" s="1"/>
    </row>
    <row r="168" spans="1:38" ht="18.75" x14ac:dyDescent="0.25">
      <c r="A168" s="6">
        <f t="shared" si="4"/>
        <v>0.96153846153846156</v>
      </c>
      <c r="B168" s="7" t="str">
        <f t="array" aca="1" ref="B168" ca="1">OFFSET(C168,,MATCH(TRUE,C168:AJ168&lt;&gt;"",0)-1)</f>
        <v xml:space="preserve"> Limpieza CIP</v>
      </c>
      <c r="C168" t="s">
        <v>917</v>
      </c>
      <c r="D168" t="s">
        <v>917</v>
      </c>
      <c r="E168" s="1" t="s">
        <v>917</v>
      </c>
      <c r="F168" t="s">
        <v>917</v>
      </c>
      <c r="G168" t="s">
        <v>917</v>
      </c>
      <c r="H168" t="s">
        <v>917</v>
      </c>
      <c r="I168" t="s">
        <v>917</v>
      </c>
      <c r="J168" t="s">
        <v>917</v>
      </c>
      <c r="K168" t="s">
        <v>1291</v>
      </c>
      <c r="L168" t="s">
        <v>1291</v>
      </c>
      <c r="N168" t="s">
        <v>1600</v>
      </c>
      <c r="O168" t="s">
        <v>1600</v>
      </c>
      <c r="P168" t="s">
        <v>1600</v>
      </c>
      <c r="Q168" t="s">
        <v>1600</v>
      </c>
      <c r="R168" t="s">
        <v>1600</v>
      </c>
      <c r="S168" t="s">
        <v>1600</v>
      </c>
      <c r="T168" t="s">
        <v>1600</v>
      </c>
      <c r="U168" t="s">
        <v>1600</v>
      </c>
      <c r="V168" t="s">
        <v>1600</v>
      </c>
      <c r="W168" t="s">
        <v>1600</v>
      </c>
      <c r="X168" t="s">
        <v>1600</v>
      </c>
      <c r="Y168" t="s">
        <v>1600</v>
      </c>
      <c r="Z168" t="s">
        <v>1600</v>
      </c>
      <c r="AA168" t="s">
        <v>1600</v>
      </c>
      <c r="AB168" t="s">
        <v>1600</v>
      </c>
    </row>
    <row r="169" spans="1:38" ht="18.75" x14ac:dyDescent="0.25">
      <c r="A169" s="6">
        <f t="shared" si="4"/>
        <v>0.96153846153846156</v>
      </c>
      <c r="B169" s="7" t="str">
        <f t="array" aca="1" ref="B169" ca="1">OFFSET(C169,,MATCH(TRUE,C169:AJ169&lt;&gt;"",0)-1)</f>
        <v xml:space="preserve"> Ajustar la altura de producción</v>
      </c>
      <c r="C169" t="s">
        <v>918</v>
      </c>
      <c r="D169" t="s">
        <v>1044</v>
      </c>
      <c r="E169" t="s">
        <v>1044</v>
      </c>
      <c r="F169" t="s">
        <v>1044</v>
      </c>
      <c r="G169" t="s">
        <v>918</v>
      </c>
      <c r="H169" t="s">
        <v>918</v>
      </c>
      <c r="I169" t="s">
        <v>918</v>
      </c>
      <c r="J169" t="s">
        <v>918</v>
      </c>
      <c r="K169" t="s">
        <v>1292</v>
      </c>
      <c r="L169" t="s">
        <v>1292</v>
      </c>
      <c r="N169" t="s">
        <v>1601</v>
      </c>
      <c r="O169" t="s">
        <v>1601</v>
      </c>
      <c r="P169" t="s">
        <v>1601</v>
      </c>
      <c r="Q169" t="s">
        <v>1601</v>
      </c>
      <c r="R169" t="s">
        <v>1601</v>
      </c>
      <c r="S169" t="s">
        <v>1601</v>
      </c>
      <c r="T169" t="s">
        <v>1601</v>
      </c>
      <c r="U169" t="s">
        <v>1601</v>
      </c>
      <c r="V169" t="s">
        <v>1601</v>
      </c>
      <c r="W169" t="s">
        <v>1601</v>
      </c>
      <c r="X169" t="s">
        <v>1601</v>
      </c>
      <c r="Y169" t="s">
        <v>1601</v>
      </c>
      <c r="Z169" t="s">
        <v>1601</v>
      </c>
      <c r="AA169" t="s">
        <v>1601</v>
      </c>
      <c r="AB169" t="s">
        <v>1601</v>
      </c>
    </row>
    <row r="170" spans="1:38" ht="18.75" x14ac:dyDescent="0.25">
      <c r="A170" s="6">
        <f t="shared" si="4"/>
        <v>0.96153846153846156</v>
      </c>
      <c r="B170" s="7" t="str">
        <f t="array" aca="1" ref="B170" ca="1">OFFSET(C170,,MATCH(TRUE,C170:AJ170&lt;&gt;"",0)-1)</f>
        <v xml:space="preserve"> Limpieza exterior</v>
      </c>
      <c r="C170" t="s">
        <v>919</v>
      </c>
      <c r="D170" t="s">
        <v>919</v>
      </c>
      <c r="E170" t="s">
        <v>919</v>
      </c>
      <c r="F170" t="s">
        <v>919</v>
      </c>
      <c r="G170" t="s">
        <v>919</v>
      </c>
      <c r="H170" t="s">
        <v>919</v>
      </c>
      <c r="I170" t="s">
        <v>919</v>
      </c>
      <c r="J170" t="s">
        <v>919</v>
      </c>
      <c r="K170" t="s">
        <v>1293</v>
      </c>
      <c r="L170" t="s">
        <v>1293</v>
      </c>
      <c r="N170" t="s">
        <v>1602</v>
      </c>
      <c r="O170" t="s">
        <v>1673</v>
      </c>
      <c r="P170" t="s">
        <v>1602</v>
      </c>
      <c r="Q170" t="s">
        <v>1602</v>
      </c>
      <c r="R170" t="s">
        <v>1673</v>
      </c>
      <c r="S170" t="s">
        <v>1673</v>
      </c>
      <c r="T170" t="s">
        <v>1673</v>
      </c>
      <c r="U170" t="s">
        <v>1673</v>
      </c>
      <c r="V170" t="s">
        <v>1673</v>
      </c>
      <c r="W170" t="s">
        <v>1673</v>
      </c>
      <c r="X170" t="s">
        <v>1673</v>
      </c>
      <c r="Y170" t="s">
        <v>1673</v>
      </c>
      <c r="Z170" t="s">
        <v>1673</v>
      </c>
      <c r="AA170" t="s">
        <v>1673</v>
      </c>
      <c r="AB170" t="s">
        <v>1673</v>
      </c>
    </row>
    <row r="171" spans="1:38" ht="18.75" x14ac:dyDescent="0.25">
      <c r="A171" s="6">
        <f t="shared" si="4"/>
        <v>0.96153846153846156</v>
      </c>
      <c r="B171" s="7" t="str">
        <f t="array" aca="1" ref="B171" ca="1">OFFSET(C171,,MATCH(TRUE,C171:AJ171&lt;&gt;"",0)-1)</f>
        <v xml:space="preserve"> Iniciar la producción</v>
      </c>
      <c r="C171" t="s">
        <v>901</v>
      </c>
      <c r="D171" t="s">
        <v>1030</v>
      </c>
      <c r="E171" t="s">
        <v>1030</v>
      </c>
      <c r="F171" t="s">
        <v>1030</v>
      </c>
      <c r="G171" t="s">
        <v>901</v>
      </c>
      <c r="H171" t="s">
        <v>901</v>
      </c>
      <c r="I171" t="s">
        <v>901</v>
      </c>
      <c r="J171" t="s">
        <v>901</v>
      </c>
      <c r="K171" t="s">
        <v>1277</v>
      </c>
      <c r="L171" t="s">
        <v>1277</v>
      </c>
      <c r="N171" t="s">
        <v>1584</v>
      </c>
      <c r="O171" t="s">
        <v>1584</v>
      </c>
      <c r="P171" t="s">
        <v>1584</v>
      </c>
      <c r="Q171" t="s">
        <v>1584</v>
      </c>
      <c r="R171" t="s">
        <v>1584</v>
      </c>
      <c r="S171" s="1" t="s">
        <v>1584</v>
      </c>
      <c r="T171" s="1" t="s">
        <v>1584</v>
      </c>
      <c r="U171" t="s">
        <v>1584</v>
      </c>
      <c r="V171" t="s">
        <v>1584</v>
      </c>
      <c r="W171" t="s">
        <v>1584</v>
      </c>
      <c r="X171" t="s">
        <v>1584</v>
      </c>
      <c r="Y171" t="s">
        <v>1584</v>
      </c>
      <c r="Z171" t="s">
        <v>1584</v>
      </c>
      <c r="AA171" t="s">
        <v>1584</v>
      </c>
      <c r="AB171" t="s">
        <v>1584</v>
      </c>
      <c r="AC171" s="1"/>
    </row>
    <row r="172" spans="1:38" ht="18.75" x14ac:dyDescent="0.25">
      <c r="A172" s="6">
        <f t="shared" si="4"/>
        <v>0.96153846153846156</v>
      </c>
      <c r="B172" s="7" t="str">
        <f t="array" aca="1" ref="B172" ca="1">OFFSET(C172,,MATCH(TRUE,C172:AJ172&lt;&gt;"",0)-1)</f>
        <v xml:space="preserve"> Tareas de seguimiento</v>
      </c>
      <c r="C172" t="s">
        <v>920</v>
      </c>
      <c r="D172" t="s">
        <v>1045</v>
      </c>
      <c r="E172" t="s">
        <v>1045</v>
      </c>
      <c r="F172" t="s">
        <v>1045</v>
      </c>
      <c r="G172" t="s">
        <v>920</v>
      </c>
      <c r="H172" t="s">
        <v>920</v>
      </c>
      <c r="I172" t="s">
        <v>920</v>
      </c>
      <c r="J172" t="s">
        <v>920</v>
      </c>
      <c r="K172" t="s">
        <v>1294</v>
      </c>
      <c r="L172" t="s">
        <v>1359</v>
      </c>
      <c r="N172" t="s">
        <v>1603</v>
      </c>
      <c r="O172" t="s">
        <v>1603</v>
      </c>
      <c r="P172" t="s">
        <v>1603</v>
      </c>
      <c r="Q172" t="s">
        <v>1603</v>
      </c>
      <c r="R172" t="s">
        <v>1603</v>
      </c>
      <c r="S172" t="s">
        <v>1603</v>
      </c>
      <c r="T172" t="s">
        <v>1603</v>
      </c>
      <c r="U172" t="s">
        <v>1603</v>
      </c>
      <c r="V172" t="s">
        <v>1603</v>
      </c>
      <c r="W172" t="s">
        <v>1603</v>
      </c>
      <c r="X172" t="s">
        <v>1603</v>
      </c>
      <c r="Y172" t="s">
        <v>1603</v>
      </c>
      <c r="Z172" t="s">
        <v>1603</v>
      </c>
      <c r="AA172" t="s">
        <v>1603</v>
      </c>
      <c r="AB172" t="s">
        <v>1603</v>
      </c>
    </row>
    <row r="173" spans="1:38" ht="18.75" x14ac:dyDescent="0.25">
      <c r="A173" s="6">
        <f t="shared" si="4"/>
        <v>1</v>
      </c>
      <c r="B173" s="7" t="str">
        <f t="array" aca="1" ref="B173" ca="1">OFFSET(C173,,MATCH(TRUE,C173:AJ173&lt;&gt;"",0)-1)</f>
        <v xml:space="preserve"> Suprimir la disposición de servicio</v>
      </c>
      <c r="C173" t="s">
        <v>921</v>
      </c>
      <c r="D173" s="1" t="s">
        <v>1046</v>
      </c>
      <c r="E173" t="s">
        <v>1046</v>
      </c>
      <c r="F173" t="s">
        <v>1046</v>
      </c>
      <c r="G173" t="s">
        <v>921</v>
      </c>
      <c r="H173" t="s">
        <v>921</v>
      </c>
      <c r="I173" t="s">
        <v>921</v>
      </c>
      <c r="J173" t="s">
        <v>921</v>
      </c>
      <c r="K173" t="s">
        <v>1295</v>
      </c>
      <c r="L173" t="s">
        <v>1360</v>
      </c>
      <c r="M173" t="s">
        <v>1419</v>
      </c>
      <c r="N173" s="1" t="s">
        <v>1604</v>
      </c>
      <c r="O173" t="s">
        <v>1604</v>
      </c>
      <c r="P173" t="s">
        <v>1604</v>
      </c>
      <c r="Q173" t="s">
        <v>1604</v>
      </c>
      <c r="R173" t="s">
        <v>1604</v>
      </c>
      <c r="S173" t="s">
        <v>1604</v>
      </c>
      <c r="T173" t="s">
        <v>1604</v>
      </c>
      <c r="U173" s="1" t="s">
        <v>1604</v>
      </c>
      <c r="V173" s="1" t="s">
        <v>1604</v>
      </c>
      <c r="W173" s="1" t="s">
        <v>1604</v>
      </c>
      <c r="X173" t="s">
        <v>1604</v>
      </c>
      <c r="Y173" t="s">
        <v>1604</v>
      </c>
      <c r="Z173" t="s">
        <v>1604</v>
      </c>
      <c r="AA173" t="s">
        <v>1604</v>
      </c>
      <c r="AB173" t="s">
        <v>1604</v>
      </c>
    </row>
    <row r="174" spans="1:38" ht="18.75" x14ac:dyDescent="0.25">
      <c r="A174" s="6">
        <f t="shared" si="4"/>
        <v>1</v>
      </c>
      <c r="B174" s="7" t="str">
        <f t="array" aca="1" ref="B174" ca="1">OFFSET(C174,,MATCH(TRUE,C174:AJ174&lt;&gt;"",0)-1)</f>
        <v xml:space="preserve"> Mantenimiento y reparación</v>
      </c>
      <c r="C174" s="13" t="s">
        <v>922</v>
      </c>
      <c r="D174" s="13" t="s">
        <v>1047</v>
      </c>
      <c r="E174" s="13" t="s">
        <v>1047</v>
      </c>
      <c r="F174" s="13" t="s">
        <v>1047</v>
      </c>
      <c r="G174" s="13" t="s">
        <v>922</v>
      </c>
      <c r="H174" s="13" t="s">
        <v>922</v>
      </c>
      <c r="I174" s="13" t="s">
        <v>922</v>
      </c>
      <c r="J174" s="13" t="s">
        <v>922</v>
      </c>
      <c r="K174" s="13" t="s">
        <v>1296</v>
      </c>
      <c r="L174" s="13" t="s">
        <v>1296</v>
      </c>
      <c r="M174" s="13" t="s">
        <v>1302</v>
      </c>
      <c r="N174" s="13" t="s">
        <v>1605</v>
      </c>
      <c r="O174" s="13" t="s">
        <v>1605</v>
      </c>
      <c r="P174" s="13" t="s">
        <v>1605</v>
      </c>
      <c r="Q174" s="13" t="s">
        <v>1605</v>
      </c>
      <c r="R174" s="13" t="s">
        <v>1605</v>
      </c>
      <c r="S174" s="13" t="s">
        <v>1605</v>
      </c>
      <c r="T174" s="13" t="s">
        <v>1605</v>
      </c>
      <c r="U174" s="13" t="s">
        <v>1605</v>
      </c>
      <c r="V174" s="13" t="s">
        <v>1605</v>
      </c>
      <c r="W174" s="13" t="s">
        <v>1605</v>
      </c>
      <c r="X174" s="13" t="s">
        <v>1605</v>
      </c>
      <c r="Y174" s="13" t="s">
        <v>1605</v>
      </c>
      <c r="Z174" s="13" t="s">
        <v>1605</v>
      </c>
      <c r="AA174" s="13" t="s">
        <v>1605</v>
      </c>
      <c r="AB174" s="13" t="s">
        <v>1605</v>
      </c>
    </row>
    <row r="175" spans="1:38" ht="18.75" x14ac:dyDescent="0.25">
      <c r="A175" s="6">
        <f t="shared" si="4"/>
        <v>0.92307692307692313</v>
      </c>
      <c r="B175" s="7" t="str">
        <f t="array" aca="1" ref="B175" ca="1">OFFSET(C175,,MATCH(TRUE,C175:AJ175&lt;&gt;"",0)-1)</f>
        <v xml:space="preserve"> Indicaciones de seguridad</v>
      </c>
      <c r="C175" t="s">
        <v>886</v>
      </c>
      <c r="D175" t="s">
        <v>886</v>
      </c>
      <c r="E175" t="s">
        <v>886</v>
      </c>
      <c r="F175" t="s">
        <v>886</v>
      </c>
      <c r="G175" t="s">
        <v>886</v>
      </c>
      <c r="H175" t="s">
        <v>1164</v>
      </c>
      <c r="I175" t="s">
        <v>923</v>
      </c>
      <c r="J175" t="s">
        <v>1164</v>
      </c>
      <c r="K175" s="1" t="s">
        <v>1263</v>
      </c>
      <c r="N175" t="s">
        <v>1570</v>
      </c>
      <c r="O175" t="s">
        <v>1570</v>
      </c>
      <c r="P175" t="s">
        <v>1570</v>
      </c>
      <c r="Q175" t="s">
        <v>1570</v>
      </c>
      <c r="R175" t="s">
        <v>1570</v>
      </c>
      <c r="S175" t="s">
        <v>1570</v>
      </c>
      <c r="T175" t="s">
        <v>1570</v>
      </c>
      <c r="U175" t="s">
        <v>1570</v>
      </c>
      <c r="V175" t="s">
        <v>1570</v>
      </c>
      <c r="W175" t="s">
        <v>1570</v>
      </c>
      <c r="X175" t="s">
        <v>1570</v>
      </c>
      <c r="Y175" t="s">
        <v>1570</v>
      </c>
      <c r="Z175" t="s">
        <v>1570</v>
      </c>
      <c r="AA175" t="s">
        <v>1570</v>
      </c>
      <c r="AB175" t="s">
        <v>1570</v>
      </c>
      <c r="AC175" s="1"/>
    </row>
    <row r="176" spans="1:38" ht="18.75" x14ac:dyDescent="0.25">
      <c r="A176" s="6">
        <f t="shared" si="4"/>
        <v>0.5</v>
      </c>
      <c r="B176" s="7" t="str">
        <f t="array" aca="1" ref="B176" ca="1">OFFSET(C176,,MATCH(TRUE,C176:AJ176&lt;&gt;"",0)-1)</f>
        <v xml:space="preserve"> Indicaciones para los trabajos de mantenimiento y reparación</v>
      </c>
      <c r="C176" t="s">
        <v>923</v>
      </c>
      <c r="E176" t="s">
        <v>1104</v>
      </c>
      <c r="F176" t="s">
        <v>1104</v>
      </c>
      <c r="J176" t="s">
        <v>923</v>
      </c>
      <c r="K176" t="s">
        <v>1297</v>
      </c>
      <c r="N176" t="s">
        <v>1606</v>
      </c>
      <c r="P176" t="s">
        <v>1606</v>
      </c>
      <c r="Q176" t="s">
        <v>1606</v>
      </c>
      <c r="S176" t="s">
        <v>1606</v>
      </c>
      <c r="T176" t="s">
        <v>1606</v>
      </c>
      <c r="Y176" t="s">
        <v>1606</v>
      </c>
      <c r="AA176" t="s">
        <v>1606</v>
      </c>
      <c r="AB176" t="s">
        <v>1606</v>
      </c>
    </row>
    <row r="177" spans="1:28" ht="18.75" x14ac:dyDescent="0.25">
      <c r="A177" s="6">
        <f t="shared" si="4"/>
        <v>1</v>
      </c>
      <c r="B177" s="7" t="str">
        <f t="array" aca="1" ref="B177" ca="1">OFFSET(C177,,MATCH(TRUE,C177:AJ177&lt;&gt;"",0)-1)</f>
        <v xml:space="preserve"> Observar las prescripciones</v>
      </c>
      <c r="C177" t="s">
        <v>924</v>
      </c>
      <c r="D177" t="s">
        <v>1048</v>
      </c>
      <c r="E177" t="s">
        <v>1048</v>
      </c>
      <c r="F177" t="s">
        <v>1048</v>
      </c>
      <c r="G177" t="s">
        <v>924</v>
      </c>
      <c r="H177" t="s">
        <v>924</v>
      </c>
      <c r="I177" t="s">
        <v>924</v>
      </c>
      <c r="J177" t="s">
        <v>924</v>
      </c>
      <c r="K177" t="s">
        <v>1298</v>
      </c>
      <c r="L177" t="s">
        <v>1298</v>
      </c>
      <c r="M177" t="s">
        <v>1298</v>
      </c>
      <c r="N177" t="s">
        <v>1607</v>
      </c>
      <c r="O177" t="s">
        <v>1607</v>
      </c>
      <c r="P177" t="s">
        <v>1607</v>
      </c>
      <c r="Q177" t="s">
        <v>1607</v>
      </c>
      <c r="R177" t="s">
        <v>1607</v>
      </c>
      <c r="S177" t="s">
        <v>1607</v>
      </c>
      <c r="T177" t="s">
        <v>1607</v>
      </c>
      <c r="U177" t="s">
        <v>1607</v>
      </c>
      <c r="V177" t="s">
        <v>1607</v>
      </c>
      <c r="W177" t="s">
        <v>1607</v>
      </c>
      <c r="X177" t="s">
        <v>1607</v>
      </c>
      <c r="Y177" t="s">
        <v>1607</v>
      </c>
      <c r="Z177" t="s">
        <v>1607</v>
      </c>
      <c r="AA177" t="s">
        <v>1607</v>
      </c>
      <c r="AB177" t="s">
        <v>1607</v>
      </c>
    </row>
    <row r="178" spans="1:28" ht="18.75" x14ac:dyDescent="0.25">
      <c r="A178" s="6">
        <f t="shared" si="4"/>
        <v>0.96153846153846156</v>
      </c>
      <c r="B178" s="7" t="str">
        <f t="array" aca="1" ref="B178" ca="1">OFFSET(C178,,MATCH(TRUE,C178:AJ178&lt;&gt;"",0)-1)</f>
        <v xml:space="preserve"> Modo operativo Ajuste</v>
      </c>
      <c r="C178" t="s">
        <v>925</v>
      </c>
      <c r="D178" t="s">
        <v>925</v>
      </c>
      <c r="E178" t="s">
        <v>925</v>
      </c>
      <c r="F178" t="s">
        <v>925</v>
      </c>
      <c r="G178" t="s">
        <v>925</v>
      </c>
      <c r="H178" t="s">
        <v>925</v>
      </c>
      <c r="I178" t="s">
        <v>925</v>
      </c>
      <c r="J178" t="s">
        <v>925</v>
      </c>
      <c r="K178" t="s">
        <v>1299</v>
      </c>
      <c r="L178" t="s">
        <v>1299</v>
      </c>
      <c r="N178" t="s">
        <v>1608</v>
      </c>
      <c r="O178" t="s">
        <v>1608</v>
      </c>
      <c r="P178" t="s">
        <v>1608</v>
      </c>
      <c r="Q178" t="s">
        <v>1608</v>
      </c>
      <c r="R178" s="1" t="s">
        <v>1608</v>
      </c>
      <c r="S178" t="s">
        <v>1608</v>
      </c>
      <c r="T178" t="s">
        <v>1608</v>
      </c>
      <c r="U178" t="s">
        <v>1608</v>
      </c>
      <c r="V178" t="s">
        <v>1608</v>
      </c>
      <c r="W178" t="s">
        <v>1608</v>
      </c>
      <c r="X178" s="1" t="s">
        <v>1608</v>
      </c>
      <c r="Y178" t="s">
        <v>1608</v>
      </c>
      <c r="Z178" t="s">
        <v>1608</v>
      </c>
      <c r="AA178" t="s">
        <v>1608</v>
      </c>
      <c r="AB178" t="s">
        <v>1608</v>
      </c>
    </row>
    <row r="179" spans="1:28" ht="18.75" x14ac:dyDescent="0.25">
      <c r="A179" s="6">
        <f t="shared" si="4"/>
        <v>0.96153846153846156</v>
      </c>
      <c r="B179" s="7" t="str">
        <f t="array" aca="1" ref="B179" ca="1">OFFSET(C179,,MATCH(TRUE,C179:AJ179&lt;&gt;"",0)-1)</f>
        <v xml:space="preserve"> Separar y asegurar</v>
      </c>
      <c r="C179" t="s">
        <v>926</v>
      </c>
      <c r="D179" t="s">
        <v>1049</v>
      </c>
      <c r="E179" t="s">
        <v>1049</v>
      </c>
      <c r="F179" t="s">
        <v>1049</v>
      </c>
      <c r="G179" t="s">
        <v>926</v>
      </c>
      <c r="H179" t="s">
        <v>926</v>
      </c>
      <c r="I179" t="s">
        <v>926</v>
      </c>
      <c r="J179" t="s">
        <v>926</v>
      </c>
      <c r="K179" t="s">
        <v>1300</v>
      </c>
      <c r="L179" t="s">
        <v>1300</v>
      </c>
      <c r="N179" t="s">
        <v>1609</v>
      </c>
      <c r="O179" s="1" t="s">
        <v>1609</v>
      </c>
      <c r="P179" t="s">
        <v>1609</v>
      </c>
      <c r="Q179" t="s">
        <v>1609</v>
      </c>
      <c r="R179" t="s">
        <v>1609</v>
      </c>
      <c r="S179" t="s">
        <v>1609</v>
      </c>
      <c r="T179" t="s">
        <v>1609</v>
      </c>
      <c r="U179" t="s">
        <v>1609</v>
      </c>
      <c r="V179" t="s">
        <v>1609</v>
      </c>
      <c r="W179" t="s">
        <v>1609</v>
      </c>
      <c r="X179" t="s">
        <v>1609</v>
      </c>
      <c r="Y179" t="s">
        <v>1751</v>
      </c>
      <c r="Z179" s="1" t="s">
        <v>1609</v>
      </c>
      <c r="AA179" t="s">
        <v>1609</v>
      </c>
      <c r="AB179" t="s">
        <v>1609</v>
      </c>
    </row>
    <row r="180" spans="1:28" ht="18.75" x14ac:dyDescent="0.25">
      <c r="A180" s="6">
        <f t="shared" si="4"/>
        <v>0.92307692307692313</v>
      </c>
      <c r="B180" s="7" t="str">
        <f t="array" aca="1" ref="B180" ca="1">OFFSET(C180,,MATCH(TRUE,C180:AJ180&lt;&gt;"",0)-1)</f>
        <v xml:space="preserve"> Vaciar la máquina</v>
      </c>
      <c r="C180" t="s">
        <v>927</v>
      </c>
      <c r="D180" t="s">
        <v>1050</v>
      </c>
      <c r="E180" t="s">
        <v>1050</v>
      </c>
      <c r="F180" t="s">
        <v>1050</v>
      </c>
      <c r="G180" t="s">
        <v>927</v>
      </c>
      <c r="H180" t="s">
        <v>927</v>
      </c>
      <c r="I180" t="s">
        <v>927</v>
      </c>
      <c r="J180" t="s">
        <v>927</v>
      </c>
      <c r="K180" t="s">
        <v>1301</v>
      </c>
      <c r="L180" t="s">
        <v>1301</v>
      </c>
      <c r="N180" t="s">
        <v>1610</v>
      </c>
      <c r="O180" t="s">
        <v>1610</v>
      </c>
      <c r="P180" t="s">
        <v>1610</v>
      </c>
      <c r="Q180" t="s">
        <v>1610</v>
      </c>
      <c r="R180" t="s">
        <v>1610</v>
      </c>
      <c r="S180" t="s">
        <v>1610</v>
      </c>
      <c r="T180" t="s">
        <v>1610</v>
      </c>
      <c r="U180" t="s">
        <v>1610</v>
      </c>
      <c r="V180" t="s">
        <v>1610</v>
      </c>
      <c r="W180" t="s">
        <v>1610</v>
      </c>
      <c r="X180" t="s">
        <v>1610</v>
      </c>
      <c r="Y180" t="s">
        <v>1610</v>
      </c>
      <c r="Z180" t="s">
        <v>1610</v>
      </c>
      <c r="AB180" t="s">
        <v>1610</v>
      </c>
    </row>
    <row r="181" spans="1:28" ht="18.75" x14ac:dyDescent="0.25">
      <c r="A181" s="6">
        <f t="shared" si="4"/>
        <v>1</v>
      </c>
      <c r="B181" s="7" t="str">
        <f t="array" aca="1" ref="B181" ca="1">OFFSET(C181,,MATCH(TRUE,C181:AJ181&lt;&gt;"",0)-1)</f>
        <v xml:space="preserve"> Mantenimiento</v>
      </c>
      <c r="C181" t="s">
        <v>928</v>
      </c>
      <c r="D181" t="s">
        <v>928</v>
      </c>
      <c r="E181" t="s">
        <v>928</v>
      </c>
      <c r="F181" t="s">
        <v>928</v>
      </c>
      <c r="G181" t="s">
        <v>928</v>
      </c>
      <c r="H181" t="s">
        <v>928</v>
      </c>
      <c r="I181" t="s">
        <v>928</v>
      </c>
      <c r="J181" t="s">
        <v>928</v>
      </c>
      <c r="K181" t="s">
        <v>1302</v>
      </c>
      <c r="L181" t="s">
        <v>1302</v>
      </c>
      <c r="M181" t="s">
        <v>1420</v>
      </c>
      <c r="N181" t="s">
        <v>1611</v>
      </c>
      <c r="O181" t="s">
        <v>1611</v>
      </c>
      <c r="P181" t="s">
        <v>1611</v>
      </c>
      <c r="Q181" t="s">
        <v>1611</v>
      </c>
      <c r="R181" t="s">
        <v>1611</v>
      </c>
      <c r="S181" t="s">
        <v>1611</v>
      </c>
      <c r="T181" t="s">
        <v>1611</v>
      </c>
      <c r="U181" t="s">
        <v>1611</v>
      </c>
      <c r="V181" t="s">
        <v>1611</v>
      </c>
      <c r="W181" t="s">
        <v>1611</v>
      </c>
      <c r="X181" t="s">
        <v>1611</v>
      </c>
      <c r="Y181" t="s">
        <v>1611</v>
      </c>
      <c r="Z181" t="s">
        <v>1611</v>
      </c>
      <c r="AA181" t="s">
        <v>1611</v>
      </c>
      <c r="AB181" t="s">
        <v>1611</v>
      </c>
    </row>
    <row r="182" spans="1:28" ht="18.75" x14ac:dyDescent="0.25">
      <c r="A182" s="6">
        <f t="shared" si="4"/>
        <v>1</v>
      </c>
      <c r="B182" s="7" t="str">
        <f t="array" aca="1" ref="B182" ca="1">OFFSET(C182,,MATCH(TRUE,C182:AJ182&lt;&gt;"",0)-1)</f>
        <v xml:space="preserve"> Indicaciones de seguridad</v>
      </c>
      <c r="C182" t="s">
        <v>886</v>
      </c>
      <c r="D182" t="s">
        <v>886</v>
      </c>
      <c r="E182" t="s">
        <v>886</v>
      </c>
      <c r="F182" t="s">
        <v>886</v>
      </c>
      <c r="G182" t="s">
        <v>886</v>
      </c>
      <c r="H182" t="s">
        <v>1164</v>
      </c>
      <c r="I182" t="s">
        <v>1164</v>
      </c>
      <c r="J182" t="s">
        <v>1164</v>
      </c>
      <c r="K182" t="s">
        <v>1263</v>
      </c>
      <c r="L182" t="s">
        <v>1263</v>
      </c>
      <c r="M182" t="s">
        <v>1399</v>
      </c>
      <c r="N182" t="s">
        <v>1570</v>
      </c>
      <c r="O182" t="s">
        <v>1570</v>
      </c>
      <c r="P182" t="s">
        <v>1570</v>
      </c>
      <c r="Q182" t="s">
        <v>1570</v>
      </c>
      <c r="R182" t="s">
        <v>1570</v>
      </c>
      <c r="S182" t="s">
        <v>1570</v>
      </c>
      <c r="T182" t="s">
        <v>1570</v>
      </c>
      <c r="U182" t="s">
        <v>1570</v>
      </c>
      <c r="V182" t="s">
        <v>1570</v>
      </c>
      <c r="W182" t="s">
        <v>1570</v>
      </c>
      <c r="X182" t="s">
        <v>1570</v>
      </c>
      <c r="Y182" t="s">
        <v>1570</v>
      </c>
      <c r="Z182" t="s">
        <v>1570</v>
      </c>
      <c r="AA182" t="s">
        <v>1570</v>
      </c>
      <c r="AB182" t="s">
        <v>1570</v>
      </c>
    </row>
    <row r="183" spans="1:28" ht="18.75" x14ac:dyDescent="0.25">
      <c r="A183" s="6">
        <f t="shared" si="4"/>
        <v>1</v>
      </c>
      <c r="B183" s="7" t="str">
        <f t="array" aca="1" ref="B183" ca="1">OFFSET(C183,,MATCH(TRUE,C183:AJ183&lt;&gt;"",0)-1)</f>
        <v xml:space="preserve"> Indicaciones de mantenimiento</v>
      </c>
      <c r="C183" t="s">
        <v>929</v>
      </c>
      <c r="D183" t="s">
        <v>929</v>
      </c>
      <c r="E183" t="s">
        <v>929</v>
      </c>
      <c r="F183" t="s">
        <v>929</v>
      </c>
      <c r="G183" t="s">
        <v>929</v>
      </c>
      <c r="H183" t="s">
        <v>929</v>
      </c>
      <c r="I183" t="s">
        <v>929</v>
      </c>
      <c r="J183" t="s">
        <v>929</v>
      </c>
      <c r="K183" t="s">
        <v>1303</v>
      </c>
      <c r="L183" t="s">
        <v>1303</v>
      </c>
      <c r="M183" t="s">
        <v>1421</v>
      </c>
      <c r="N183" t="s">
        <v>1612</v>
      </c>
      <c r="O183" t="s">
        <v>1612</v>
      </c>
      <c r="P183" t="s">
        <v>1612</v>
      </c>
      <c r="Q183" t="s">
        <v>1612</v>
      </c>
      <c r="R183" t="s">
        <v>1612</v>
      </c>
      <c r="S183" t="s">
        <v>1612</v>
      </c>
      <c r="T183" t="s">
        <v>1612</v>
      </c>
      <c r="U183" t="s">
        <v>1612</v>
      </c>
      <c r="V183" t="s">
        <v>1612</v>
      </c>
      <c r="W183" t="s">
        <v>1612</v>
      </c>
      <c r="X183" t="s">
        <v>1612</v>
      </c>
      <c r="Y183" t="s">
        <v>1612</v>
      </c>
      <c r="Z183" t="s">
        <v>1612</v>
      </c>
      <c r="AA183" t="s">
        <v>1612</v>
      </c>
      <c r="AB183" t="s">
        <v>1612</v>
      </c>
    </row>
    <row r="184" spans="1:28" ht="18.75" x14ac:dyDescent="0.25">
      <c r="A184" s="6">
        <f t="shared" si="4"/>
        <v>3.8461538461538436E-2</v>
      </c>
      <c r="B184" s="7" t="str">
        <f t="array" aca="1" ref="B184" ca="1">OFFSET(C184,,MATCH(TRUE,C184:AJ184&lt;&gt;"",0)-1)</f>
        <v xml:space="preserve"> Preparação</v>
      </c>
      <c r="M184" t="s">
        <v>1409</v>
      </c>
    </row>
    <row r="185" spans="1:28" ht="18.75" x14ac:dyDescent="0.25">
      <c r="A185" s="6">
        <f t="shared" si="4"/>
        <v>3.8461538461538436E-2</v>
      </c>
      <c r="B185" s="7" t="str">
        <f t="array" aca="1" ref="B185" ca="1">OFFSET(C185,,MATCH(TRUE,C185:AJ185&lt;&gt;"",0)-1)</f>
        <v xml:space="preserve"> Programa de manutenção do envasador</v>
      </c>
      <c r="M185" t="s">
        <v>1422</v>
      </c>
    </row>
    <row r="186" spans="1:28" ht="18.75" x14ac:dyDescent="0.25">
      <c r="A186" s="6">
        <f t="shared" si="4"/>
        <v>3.8461538461538436E-2</v>
      </c>
      <c r="B186" s="7" t="str">
        <f t="array" aca="1" ref="B186" ca="1">OFFSET(C186,,MATCH(TRUE,C186:AJ186&lt;&gt;"",0)-1)</f>
        <v xml:space="preserve"> Manutenção elétrica</v>
      </c>
      <c r="M186" t="s">
        <v>1423</v>
      </c>
    </row>
    <row r="187" spans="1:28" ht="18.75" x14ac:dyDescent="0.25">
      <c r="A187" s="6">
        <f t="shared" si="4"/>
        <v>3.8461538461538436E-2</v>
      </c>
      <c r="B187" s="7" t="str">
        <f t="array" aca="1" ref="B187" ca="1">OFFSET(C187,,MATCH(TRUE,C187:AJ187&lt;&gt;"",0)-1)</f>
        <v xml:space="preserve"> Programa de manutenção da tampadora de tampas coroa</v>
      </c>
      <c r="M187" t="s">
        <v>1424</v>
      </c>
    </row>
    <row r="188" spans="1:28" ht="18.75" x14ac:dyDescent="0.25">
      <c r="A188" s="6">
        <f t="shared" si="4"/>
        <v>3.8461538461538436E-2</v>
      </c>
      <c r="B188" s="7" t="str">
        <f t="array" aca="1" ref="B188" ca="1">OFFSET(C188,,MATCH(TRUE,C188:AJ188&lt;&gt;"",0)-1)</f>
        <v xml:space="preserve"> Programa de manutenção da máquina</v>
      </c>
      <c r="M188" t="s">
        <v>1425</v>
      </c>
    </row>
    <row r="189" spans="1:28" ht="18.75" x14ac:dyDescent="0.25">
      <c r="A189" s="6">
        <f t="shared" si="4"/>
        <v>3.8461538461538436E-2</v>
      </c>
      <c r="B189" s="7" t="str">
        <f t="array" aca="1" ref="B189" ca="1">OFFSET(C189,,MATCH(TRUE,C189:AJ189&lt;&gt;"",0)-1)</f>
        <v xml:space="preserve"> Plano de lubrificação </v>
      </c>
      <c r="M189" t="s">
        <v>1361</v>
      </c>
    </row>
    <row r="190" spans="1:28" ht="18.75" x14ac:dyDescent="0.25">
      <c r="A190" s="6">
        <f t="shared" si="4"/>
        <v>3.8461538461538436E-2</v>
      </c>
      <c r="B190" s="7" t="str">
        <f t="array" aca="1" ref="B190" ca="1">OFFSET(C190,,MATCH(TRUE,C190:AJ190&lt;&gt;"",0)-1)</f>
        <v xml:space="preserve"> Pontos de lubrificação do grupo de válvulas</v>
      </c>
      <c r="M190" t="s">
        <v>1426</v>
      </c>
    </row>
    <row r="191" spans="1:28" ht="18.75" x14ac:dyDescent="0.25">
      <c r="A191" s="6">
        <f t="shared" si="4"/>
        <v>3.8461538461538436E-2</v>
      </c>
      <c r="B191" s="7" t="str">
        <f t="array" aca="1" ref="B191" ca="1">OFFSET(C191,,MATCH(TRUE,C191:AJ191&lt;&gt;"",0)-1)</f>
        <v xml:space="preserve"> Pontos de lubrificação do transporte de garrafas</v>
      </c>
      <c r="M191" t="s">
        <v>1427</v>
      </c>
    </row>
    <row r="192" spans="1:28" ht="18.75" x14ac:dyDescent="0.25">
      <c r="A192" s="6">
        <f t="shared" si="4"/>
        <v>3.8461538461538436E-2</v>
      </c>
      <c r="B192" s="7" t="str">
        <f t="array" aca="1" ref="B192" ca="1">OFFSET(C192,,MATCH(TRUE,C192:AJ192&lt;&gt;"",0)-1)</f>
        <v xml:space="preserve"> Pontos de lubrificação da tampadora de tampas coroa</v>
      </c>
      <c r="M192" t="s">
        <v>1428</v>
      </c>
    </row>
    <row r="193" spans="1:38" ht="18.75" x14ac:dyDescent="0.25">
      <c r="A193" s="6">
        <f t="shared" si="4"/>
        <v>3.8461538461538436E-2</v>
      </c>
      <c r="B193" s="7" t="str">
        <f t="array" aca="1" ref="B193" ca="1">OFFSET(C193,,MATCH(TRUE,C193:AJ193&lt;&gt;"",0)-1)</f>
        <v xml:space="preserve"> Pontos de lubrificação do envasador</v>
      </c>
      <c r="M193" t="s">
        <v>1429</v>
      </c>
    </row>
    <row r="194" spans="1:38" ht="18.75" x14ac:dyDescent="0.25">
      <c r="A194" s="6">
        <f t="shared" si="4"/>
        <v>3.8461538461538436E-2</v>
      </c>
      <c r="B194" s="7" t="str">
        <f t="array" aca="1" ref="B194" ca="1">OFFSET(C194,,MATCH(TRUE,C194:AJ194&lt;&gt;"",0)-1)</f>
        <v xml:space="preserve"> Recomendações de lubrificação e limpeza</v>
      </c>
      <c r="M194" t="s">
        <v>1430</v>
      </c>
    </row>
    <row r="195" spans="1:38" ht="18.75" x14ac:dyDescent="0.25">
      <c r="A195" s="6">
        <f t="shared" si="4"/>
        <v>3.8461538461538436E-2</v>
      </c>
      <c r="B195" s="7" t="str">
        <f t="array" aca="1" ref="B195" ca="1">OFFSET(C195,,MATCH(TRUE,C195:AJ195&lt;&gt;"",0)-1)</f>
        <v xml:space="preserve"> Reparo</v>
      </c>
      <c r="M195" t="s">
        <v>1431</v>
      </c>
    </row>
    <row r="196" spans="1:38" ht="18.75" x14ac:dyDescent="0.25">
      <c r="A196" s="6">
        <f t="shared" si="4"/>
        <v>3.8461538461538436E-2</v>
      </c>
      <c r="B196" s="7" t="str">
        <f t="array" aca="1" ref="B196" ca="1">OFFSET(C196,,MATCH(TRUE,C196:AJ196&lt;&gt;"",0)-1)</f>
        <v xml:space="preserve"> Desligar o interruptor principal</v>
      </c>
      <c r="M196" t="s">
        <v>1432</v>
      </c>
    </row>
    <row r="197" spans="1:38" ht="18.75" x14ac:dyDescent="0.25">
      <c r="A197" s="6">
        <f t="shared" si="4"/>
        <v>3.8461538461538436E-2</v>
      </c>
      <c r="B197" s="7" t="str">
        <f t="array" aca="1" ref="B197" ca="1">OFFSET(C197,,MATCH(TRUE,C197:AJ197&lt;&gt;"",0)-1)</f>
        <v xml:space="preserve"> Ligar o acionamento principal</v>
      </c>
      <c r="M197" t="s">
        <v>1433</v>
      </c>
    </row>
    <row r="198" spans="1:38" ht="18.75" x14ac:dyDescent="0.25">
      <c r="A198" s="6">
        <f t="shared" ref="A198:A259" si="5">(1-COUNTBLANK(C198:AB198)/COLUMNS(C198:AB198))</f>
        <v>0.96153846153846156</v>
      </c>
      <c r="B198" s="7" t="str">
        <f t="array" aca="1" ref="B198" ca="1">OFFSET(C198,,MATCH(TRUE,C198:AJ198&lt;&gt;"",0)-1)</f>
        <v xml:space="preserve"> Mantener las juntas</v>
      </c>
      <c r="C198" t="s">
        <v>930</v>
      </c>
      <c r="D198" t="s">
        <v>1051</v>
      </c>
      <c r="E198" t="s">
        <v>1051</v>
      </c>
      <c r="F198" t="s">
        <v>1051</v>
      </c>
      <c r="G198" t="s">
        <v>930</v>
      </c>
      <c r="H198" t="s">
        <v>930</v>
      </c>
      <c r="I198" t="s">
        <v>930</v>
      </c>
      <c r="J198" t="s">
        <v>930</v>
      </c>
      <c r="K198" t="s">
        <v>1304</v>
      </c>
      <c r="L198" t="s">
        <v>1304</v>
      </c>
      <c r="N198" t="s">
        <v>1613</v>
      </c>
      <c r="O198" t="s">
        <v>1674</v>
      </c>
      <c r="P198" t="s">
        <v>1613</v>
      </c>
      <c r="Q198" t="s">
        <v>1674</v>
      </c>
      <c r="R198" t="s">
        <v>1674</v>
      </c>
      <c r="S198" t="s">
        <v>1674</v>
      </c>
      <c r="T198" t="s">
        <v>1674</v>
      </c>
      <c r="U198" t="s">
        <v>1674</v>
      </c>
      <c r="V198" t="s">
        <v>1674</v>
      </c>
      <c r="W198" t="s">
        <v>1674</v>
      </c>
      <c r="X198" t="s">
        <v>1674</v>
      </c>
      <c r="Y198" t="s">
        <v>1674</v>
      </c>
      <c r="Z198" t="s">
        <v>1674</v>
      </c>
      <c r="AA198" t="s">
        <v>1674</v>
      </c>
      <c r="AB198" t="s">
        <v>1674</v>
      </c>
    </row>
    <row r="199" spans="1:38" ht="18.75" x14ac:dyDescent="0.25">
      <c r="A199" s="6">
        <f t="shared" si="5"/>
        <v>0.96153846153846156</v>
      </c>
      <c r="B199" s="7" t="str">
        <f t="array" aca="1" ref="B199" ca="1">OFFSET(C199,,MATCH(TRUE,C199:AJ199&lt;&gt;"",0)-1)</f>
        <v xml:space="preserve"> Plan de mantenimiento</v>
      </c>
      <c r="C199" t="s">
        <v>931</v>
      </c>
      <c r="D199" t="s">
        <v>931</v>
      </c>
      <c r="E199" t="s">
        <v>931</v>
      </c>
      <c r="F199" t="s">
        <v>931</v>
      </c>
      <c r="G199" t="s">
        <v>931</v>
      </c>
      <c r="H199" t="s">
        <v>931</v>
      </c>
      <c r="I199" t="s">
        <v>931</v>
      </c>
      <c r="J199" t="s">
        <v>931</v>
      </c>
      <c r="K199" t="s">
        <v>1305</v>
      </c>
      <c r="L199" t="s">
        <v>1305</v>
      </c>
      <c r="N199" t="s">
        <v>1614</v>
      </c>
      <c r="O199" t="s">
        <v>1614</v>
      </c>
      <c r="P199" t="s">
        <v>1614</v>
      </c>
      <c r="Q199" t="s">
        <v>1614</v>
      </c>
      <c r="R199" t="s">
        <v>1614</v>
      </c>
      <c r="S199" t="s">
        <v>1614</v>
      </c>
      <c r="T199" t="s">
        <v>1614</v>
      </c>
      <c r="U199" t="s">
        <v>1614</v>
      </c>
      <c r="V199" t="s">
        <v>1614</v>
      </c>
      <c r="W199" t="s">
        <v>1614</v>
      </c>
      <c r="X199" t="s">
        <v>1614</v>
      </c>
      <c r="Y199" t="s">
        <v>1752</v>
      </c>
      <c r="Z199" t="s">
        <v>1614</v>
      </c>
      <c r="AA199" t="s">
        <v>1614</v>
      </c>
      <c r="AB199" s="1" t="s">
        <v>1614</v>
      </c>
      <c r="AE199" s="1"/>
      <c r="AF199" s="1"/>
      <c r="AG199" s="1"/>
      <c r="AH199" s="1"/>
      <c r="AI199" s="1"/>
      <c r="AJ199" s="1"/>
      <c r="AK199" s="1"/>
      <c r="AL199" s="1"/>
    </row>
    <row r="200" spans="1:38" ht="18.75" x14ac:dyDescent="0.25">
      <c r="A200" s="6">
        <f t="shared" si="5"/>
        <v>0.96153846153846156</v>
      </c>
      <c r="B200" s="7" t="str">
        <f t="array" aca="1" ref="B200" ca="1">OFFSET(C200,,MATCH(TRUE,C200:AJ200&lt;&gt;"",0)-1)</f>
        <v xml:space="preserve"> Esquema de lubricación</v>
      </c>
      <c r="C200" t="s">
        <v>932</v>
      </c>
      <c r="D200" t="s">
        <v>1052</v>
      </c>
      <c r="E200" t="s">
        <v>1052</v>
      </c>
      <c r="F200" t="s">
        <v>1052</v>
      </c>
      <c r="G200" s="1" t="s">
        <v>932</v>
      </c>
      <c r="H200" t="s">
        <v>932</v>
      </c>
      <c r="I200" t="s">
        <v>1174</v>
      </c>
      <c r="J200" t="s">
        <v>1174</v>
      </c>
      <c r="K200" t="s">
        <v>1306</v>
      </c>
      <c r="L200" t="s">
        <v>1361</v>
      </c>
      <c r="N200" t="s">
        <v>1615</v>
      </c>
      <c r="O200" t="s">
        <v>1615</v>
      </c>
      <c r="P200" t="s">
        <v>1615</v>
      </c>
      <c r="Q200" s="1" t="s">
        <v>1615</v>
      </c>
      <c r="R200" t="s">
        <v>1615</v>
      </c>
      <c r="S200" t="s">
        <v>1615</v>
      </c>
      <c r="T200" t="s">
        <v>1615</v>
      </c>
      <c r="U200" t="s">
        <v>1615</v>
      </c>
      <c r="V200" t="s">
        <v>1615</v>
      </c>
      <c r="W200" t="s">
        <v>1615</v>
      </c>
      <c r="X200" t="s">
        <v>1615</v>
      </c>
      <c r="Y200" t="s">
        <v>1753</v>
      </c>
      <c r="Z200" t="s">
        <v>1615</v>
      </c>
      <c r="AA200" t="s">
        <v>1615</v>
      </c>
      <c r="AB200" t="s">
        <v>1615</v>
      </c>
      <c r="AD200" s="1"/>
    </row>
    <row r="201" spans="1:38" ht="18.75" x14ac:dyDescent="0.25">
      <c r="A201" s="6">
        <f t="shared" si="5"/>
        <v>0.92307692307692313</v>
      </c>
      <c r="B201" s="7" t="str">
        <f t="array" aca="1" ref="B201" ca="1">OFFSET(C201,,MATCH(TRUE,C201:AJ201&lt;&gt;"",0)-1)</f>
        <v xml:space="preserve"> Instrucciones de limpieza</v>
      </c>
      <c r="C201" t="s">
        <v>933</v>
      </c>
      <c r="D201" t="s">
        <v>1053</v>
      </c>
      <c r="E201" t="s">
        <v>1053</v>
      </c>
      <c r="F201" t="s">
        <v>1053</v>
      </c>
      <c r="G201" t="s">
        <v>1134</v>
      </c>
      <c r="H201" s="1" t="s">
        <v>1134</v>
      </c>
      <c r="I201" t="s">
        <v>1134</v>
      </c>
      <c r="J201" t="s">
        <v>1134</v>
      </c>
      <c r="K201" t="s">
        <v>1307</v>
      </c>
      <c r="L201" t="s">
        <v>1307</v>
      </c>
      <c r="O201" t="s">
        <v>1675</v>
      </c>
      <c r="P201" t="s">
        <v>1675</v>
      </c>
      <c r="Q201" t="s">
        <v>1675</v>
      </c>
      <c r="R201" t="s">
        <v>1675</v>
      </c>
      <c r="S201" t="s">
        <v>1675</v>
      </c>
      <c r="T201" t="s">
        <v>1675</v>
      </c>
      <c r="U201" t="s">
        <v>1675</v>
      </c>
      <c r="V201" t="s">
        <v>1675</v>
      </c>
      <c r="W201" t="s">
        <v>1675</v>
      </c>
      <c r="X201" t="s">
        <v>1675</v>
      </c>
      <c r="Y201" t="s">
        <v>1675</v>
      </c>
      <c r="Z201" t="s">
        <v>1675</v>
      </c>
      <c r="AA201" t="s">
        <v>1675</v>
      </c>
      <c r="AB201" t="s">
        <v>1675</v>
      </c>
    </row>
    <row r="202" spans="1:38" ht="18.75" x14ac:dyDescent="0.25">
      <c r="A202" s="6">
        <f t="shared" si="5"/>
        <v>0.96153846153846156</v>
      </c>
      <c r="B202" s="7" t="str">
        <f t="array" aca="1" ref="B202" ca="1">OFFSET(C202,,MATCH(TRUE,C202:AJ202&lt;&gt;"",0)-1)</f>
        <v xml:space="preserve"> Reparación</v>
      </c>
      <c r="C202" t="s">
        <v>934</v>
      </c>
      <c r="D202" t="s">
        <v>934</v>
      </c>
      <c r="E202" t="s">
        <v>934</v>
      </c>
      <c r="F202" t="s">
        <v>934</v>
      </c>
      <c r="G202" t="s">
        <v>934</v>
      </c>
      <c r="H202" t="s">
        <v>934</v>
      </c>
      <c r="I202" t="s">
        <v>934</v>
      </c>
      <c r="J202" t="s">
        <v>934</v>
      </c>
      <c r="K202" t="s">
        <v>1308</v>
      </c>
      <c r="L202" t="s">
        <v>1308</v>
      </c>
      <c r="N202" t="s">
        <v>1616</v>
      </c>
      <c r="O202" t="s">
        <v>1616</v>
      </c>
      <c r="P202" t="s">
        <v>1616</v>
      </c>
      <c r="Q202" t="s">
        <v>1616</v>
      </c>
      <c r="R202" t="s">
        <v>1616</v>
      </c>
      <c r="S202" t="s">
        <v>1616</v>
      </c>
      <c r="T202" t="s">
        <v>1616</v>
      </c>
      <c r="U202" t="s">
        <v>1616</v>
      </c>
      <c r="V202" t="s">
        <v>1616</v>
      </c>
      <c r="W202" t="s">
        <v>1616</v>
      </c>
      <c r="X202" t="s">
        <v>1616</v>
      </c>
      <c r="Y202" t="s">
        <v>1616</v>
      </c>
      <c r="Z202" t="s">
        <v>1616</v>
      </c>
      <c r="AA202" t="s">
        <v>1616</v>
      </c>
      <c r="AB202" t="s">
        <v>1616</v>
      </c>
    </row>
    <row r="203" spans="1:38" ht="18.75" x14ac:dyDescent="0.25">
      <c r="A203" s="6">
        <f t="shared" si="5"/>
        <v>3.8461538461538436E-2</v>
      </c>
      <c r="B203" s="7" t="str">
        <f t="array" aca="1" ref="B203" ca="1">OFFSET(C203,,MATCH(TRUE,C203:AJ203&lt;&gt;"",0)-1)</f>
        <v xml:space="preserve"> Safety instructions</v>
      </c>
      <c r="Z203" t="s">
        <v>1570</v>
      </c>
    </row>
    <row r="204" spans="1:38" ht="18.75" x14ac:dyDescent="0.25">
      <c r="A204" s="6">
        <f t="shared" si="5"/>
        <v>0.26923076923076927</v>
      </c>
      <c r="B204" s="7" t="str">
        <f t="array" aca="1" ref="B204" ca="1">OFFSET(C204,,MATCH(TRUE,C204:AJ204&lt;&gt;"",0)-1)</f>
        <v xml:space="preserve"> Interruptor de reparación del transportador</v>
      </c>
      <c r="C204" t="s">
        <v>935</v>
      </c>
      <c r="I204" t="s">
        <v>935</v>
      </c>
      <c r="J204" t="s">
        <v>1180</v>
      </c>
      <c r="N204" t="s">
        <v>1617</v>
      </c>
      <c r="P204" t="s">
        <v>1617</v>
      </c>
      <c r="Y204" t="s">
        <v>1754</v>
      </c>
      <c r="Z204" t="s">
        <v>1754</v>
      </c>
    </row>
    <row r="205" spans="1:38" ht="18.75" x14ac:dyDescent="0.25">
      <c r="A205" s="6">
        <f t="shared" si="5"/>
        <v>1</v>
      </c>
      <c r="B205" s="7" t="str">
        <f t="array" aca="1" ref="B205" ca="1">OFFSET(C205,,MATCH(TRUE,C205:AJ205&lt;&gt;"",0)-1)</f>
        <v xml:space="preserve"> Pares de apriete</v>
      </c>
      <c r="C205" t="s">
        <v>936</v>
      </c>
      <c r="D205" t="s">
        <v>936</v>
      </c>
      <c r="E205" t="s">
        <v>936</v>
      </c>
      <c r="F205" t="s">
        <v>936</v>
      </c>
      <c r="G205" t="s">
        <v>936</v>
      </c>
      <c r="H205" t="s">
        <v>936</v>
      </c>
      <c r="I205" t="s">
        <v>936</v>
      </c>
      <c r="J205" s="1" t="s">
        <v>936</v>
      </c>
      <c r="K205" t="s">
        <v>1309</v>
      </c>
      <c r="L205" t="s">
        <v>1309</v>
      </c>
      <c r="M205" t="s">
        <v>1434</v>
      </c>
      <c r="N205" t="s">
        <v>1618</v>
      </c>
      <c r="O205" t="s">
        <v>1618</v>
      </c>
      <c r="P205" t="s">
        <v>1618</v>
      </c>
      <c r="Q205" t="s">
        <v>1618</v>
      </c>
      <c r="R205" t="s">
        <v>1618</v>
      </c>
      <c r="S205" t="s">
        <v>1618</v>
      </c>
      <c r="T205" t="s">
        <v>1618</v>
      </c>
      <c r="U205" t="s">
        <v>1618</v>
      </c>
      <c r="V205" t="s">
        <v>1618</v>
      </c>
      <c r="W205" t="s">
        <v>1618</v>
      </c>
      <c r="X205" t="s">
        <v>1618</v>
      </c>
      <c r="Y205" s="1" t="s">
        <v>1618</v>
      </c>
      <c r="Z205" t="s">
        <v>1618</v>
      </c>
      <c r="AA205" t="s">
        <v>1618</v>
      </c>
      <c r="AB205" t="s">
        <v>1618</v>
      </c>
    </row>
    <row r="206" spans="1:38" ht="18.75" x14ac:dyDescent="0.25">
      <c r="A206" s="6">
        <f t="shared" si="5"/>
        <v>1</v>
      </c>
      <c r="B206" s="7" t="str">
        <f t="array" aca="1" ref="B206" ca="1">OFFSET(C206,,MATCH(TRUE,C206:AJ206&lt;&gt;"",0)-1)</f>
        <v xml:space="preserve"> Sustituir sinfín de entrada</v>
      </c>
      <c r="C206" t="s">
        <v>937</v>
      </c>
      <c r="D206" t="s">
        <v>1054</v>
      </c>
      <c r="E206" s="1" t="s">
        <v>1054</v>
      </c>
      <c r="F206" t="s">
        <v>1054</v>
      </c>
      <c r="G206" t="s">
        <v>937</v>
      </c>
      <c r="H206" t="s">
        <v>1170</v>
      </c>
      <c r="I206" t="s">
        <v>1170</v>
      </c>
      <c r="J206" t="s">
        <v>1170</v>
      </c>
      <c r="K206" t="s">
        <v>1310</v>
      </c>
      <c r="L206" s="1" t="s">
        <v>1310</v>
      </c>
      <c r="M206" t="s">
        <v>1435</v>
      </c>
      <c r="N206" t="s">
        <v>1619</v>
      </c>
      <c r="O206" t="s">
        <v>1676</v>
      </c>
      <c r="P206" t="s">
        <v>1619</v>
      </c>
      <c r="Q206" t="s">
        <v>1676</v>
      </c>
      <c r="R206" t="s">
        <v>1676</v>
      </c>
      <c r="S206" t="s">
        <v>1676</v>
      </c>
      <c r="T206" t="s">
        <v>1676</v>
      </c>
      <c r="U206" t="s">
        <v>1676</v>
      </c>
      <c r="V206" t="s">
        <v>1676</v>
      </c>
      <c r="W206" t="s">
        <v>1676</v>
      </c>
      <c r="X206" t="s">
        <v>1676</v>
      </c>
      <c r="Y206" t="s">
        <v>1676</v>
      </c>
      <c r="Z206" t="s">
        <v>1676</v>
      </c>
      <c r="AA206" t="s">
        <v>1676</v>
      </c>
      <c r="AB206" t="s">
        <v>1676</v>
      </c>
    </row>
    <row r="207" spans="1:38" ht="18.75" x14ac:dyDescent="0.25">
      <c r="A207" s="6">
        <f t="shared" si="5"/>
        <v>1</v>
      </c>
      <c r="B207" s="7" t="str">
        <f t="array" aca="1" ref="B207" ca="1">OFFSET(C207,,MATCH(TRUE,C207:AJ207&lt;&gt;"",0)-1)</f>
        <v xml:space="preserve"> Ajustar el sinfín de entrada</v>
      </c>
      <c r="C207" t="s">
        <v>938</v>
      </c>
      <c r="D207" t="s">
        <v>1055</v>
      </c>
      <c r="E207" t="s">
        <v>1055</v>
      </c>
      <c r="F207" s="1" t="s">
        <v>1055</v>
      </c>
      <c r="G207" t="s">
        <v>938</v>
      </c>
      <c r="H207" t="s">
        <v>1171</v>
      </c>
      <c r="I207" t="s">
        <v>1171</v>
      </c>
      <c r="J207" t="s">
        <v>1171</v>
      </c>
      <c r="K207" t="s">
        <v>1311</v>
      </c>
      <c r="L207" t="s">
        <v>1311</v>
      </c>
      <c r="M207" t="s">
        <v>1436</v>
      </c>
      <c r="N207" t="s">
        <v>1620</v>
      </c>
      <c r="O207" t="s">
        <v>1677</v>
      </c>
      <c r="P207" t="s">
        <v>1620</v>
      </c>
      <c r="Q207" t="s">
        <v>1677</v>
      </c>
      <c r="R207" t="s">
        <v>1677</v>
      </c>
      <c r="S207" t="s">
        <v>1677</v>
      </c>
      <c r="T207" t="s">
        <v>1677</v>
      </c>
      <c r="U207" t="s">
        <v>1677</v>
      </c>
      <c r="V207" t="s">
        <v>1677</v>
      </c>
      <c r="W207" t="s">
        <v>1677</v>
      </c>
      <c r="X207" t="s">
        <v>1677</v>
      </c>
      <c r="Y207" t="s">
        <v>1677</v>
      </c>
      <c r="Z207" t="s">
        <v>1677</v>
      </c>
      <c r="AA207" t="s">
        <v>1677</v>
      </c>
      <c r="AB207" t="s">
        <v>1677</v>
      </c>
    </row>
    <row r="208" spans="1:38" ht="18.75" x14ac:dyDescent="0.25">
      <c r="A208" s="6">
        <f t="shared" si="5"/>
        <v>3.8461538461538436E-2</v>
      </c>
      <c r="B208" s="7" t="str">
        <f t="array" aca="1" ref="B208" ca="1">OFFSET(C208,,MATCH(TRUE,C208:AJ208&lt;&gt;"",0)-1)</f>
        <v xml:space="preserve"> Bloqueador de botellas</v>
      </c>
      <c r="G208" t="s">
        <v>1135</v>
      </c>
    </row>
    <row r="209" spans="1:29" ht="18.75" x14ac:dyDescent="0.25">
      <c r="A209" s="6">
        <f t="shared" si="5"/>
        <v>1</v>
      </c>
      <c r="B209" s="7" t="str">
        <f t="array" aca="1" ref="B209" ca="1">OFFSET(C209,,MATCH(TRUE,C209:AJ209&lt;&gt;"",0)-1)</f>
        <v xml:space="preserve"> Cambiar los listones deslizantes</v>
      </c>
      <c r="C209" t="s">
        <v>939</v>
      </c>
      <c r="D209" t="s">
        <v>1056</v>
      </c>
      <c r="E209" t="s">
        <v>1056</v>
      </c>
      <c r="F209" t="s">
        <v>1056</v>
      </c>
      <c r="G209" t="s">
        <v>939</v>
      </c>
      <c r="H209" t="s">
        <v>939</v>
      </c>
      <c r="I209" s="1" t="s">
        <v>939</v>
      </c>
      <c r="J209" t="s">
        <v>939</v>
      </c>
      <c r="K209" t="s">
        <v>1312</v>
      </c>
      <c r="L209" t="s">
        <v>1312</v>
      </c>
      <c r="M209" t="s">
        <v>1437</v>
      </c>
      <c r="N209" t="s">
        <v>1621</v>
      </c>
      <c r="O209" t="s">
        <v>1621</v>
      </c>
      <c r="P209" t="s">
        <v>1621</v>
      </c>
      <c r="Q209" t="s">
        <v>1621</v>
      </c>
      <c r="R209" t="s">
        <v>1621</v>
      </c>
      <c r="S209" t="s">
        <v>1621</v>
      </c>
      <c r="T209" t="s">
        <v>1621</v>
      </c>
      <c r="U209" t="s">
        <v>1621</v>
      </c>
      <c r="V209" t="s">
        <v>1621</v>
      </c>
      <c r="W209" t="s">
        <v>1621</v>
      </c>
      <c r="X209" t="s">
        <v>1621</v>
      </c>
      <c r="Y209" t="s">
        <v>1755</v>
      </c>
      <c r="Z209" t="s">
        <v>1621</v>
      </c>
      <c r="AA209" t="s">
        <v>1621</v>
      </c>
      <c r="AB209" t="s">
        <v>1755</v>
      </c>
    </row>
    <row r="210" spans="1:29" ht="18.75" x14ac:dyDescent="0.25">
      <c r="A210" s="6">
        <f t="shared" si="5"/>
        <v>3.8461538461538436E-2</v>
      </c>
      <c r="B210" s="7" t="str">
        <f t="array" aca="1" ref="B210" ca="1">OFFSET(C210,,MATCH(TRUE,C210:AJ210&lt;&gt;"",0)-1)</f>
        <v xml:space="preserve"> Changing bottle guide stars</v>
      </c>
      <c r="AA210" t="s">
        <v>1763</v>
      </c>
    </row>
    <row r="211" spans="1:29" ht="18.75" x14ac:dyDescent="0.25">
      <c r="A211" s="6">
        <f t="shared" si="5"/>
        <v>1</v>
      </c>
      <c r="B211" s="7" t="str">
        <f t="array" aca="1" ref="B211" ca="1">OFFSET(C211,,MATCH(TRUE,C211:AJ211&lt;&gt;"",0)-1)</f>
        <v xml:space="preserve"> Lubricación central</v>
      </c>
      <c r="C211" t="s">
        <v>940</v>
      </c>
      <c r="D211" t="s">
        <v>940</v>
      </c>
      <c r="E211" t="s">
        <v>940</v>
      </c>
      <c r="F211" t="s">
        <v>940</v>
      </c>
      <c r="G211" t="s">
        <v>940</v>
      </c>
      <c r="H211" t="s">
        <v>940</v>
      </c>
      <c r="I211" t="s">
        <v>940</v>
      </c>
      <c r="J211" t="s">
        <v>940</v>
      </c>
      <c r="K211" t="s">
        <v>1313</v>
      </c>
      <c r="L211" t="s">
        <v>1313</v>
      </c>
      <c r="M211" t="s">
        <v>1313</v>
      </c>
      <c r="N211" t="s">
        <v>1622</v>
      </c>
      <c r="O211" t="s">
        <v>1623</v>
      </c>
      <c r="P211" t="s">
        <v>1623</v>
      </c>
      <c r="Q211" t="s">
        <v>1623</v>
      </c>
      <c r="R211" t="s">
        <v>1623</v>
      </c>
      <c r="S211" s="1" t="s">
        <v>1623</v>
      </c>
      <c r="T211" s="1" t="s">
        <v>1623</v>
      </c>
      <c r="U211" t="s">
        <v>1623</v>
      </c>
      <c r="V211" t="s">
        <v>1623</v>
      </c>
      <c r="W211" t="s">
        <v>1623</v>
      </c>
      <c r="X211" t="s">
        <v>1623</v>
      </c>
      <c r="Y211" t="s">
        <v>1623</v>
      </c>
      <c r="Z211" t="s">
        <v>1623</v>
      </c>
      <c r="AA211" t="s">
        <v>1623</v>
      </c>
      <c r="AB211" t="s">
        <v>1623</v>
      </c>
    </row>
    <row r="212" spans="1:29" ht="18.75" x14ac:dyDescent="0.25">
      <c r="A212" s="6">
        <f t="shared" si="5"/>
        <v>0.57692307692307687</v>
      </c>
      <c r="B212" s="7" t="str">
        <f t="array" aca="1" ref="B212" ca="1">OFFSET(C212,,MATCH(TRUE,C212:AJ212&lt;&gt;"",0)-1)</f>
        <v xml:space="preserve"> Sustitución de componentes del sistema neumático de seguridad</v>
      </c>
      <c r="E212" s="1" t="s">
        <v>1105</v>
      </c>
      <c r="F212" t="s">
        <v>1105</v>
      </c>
      <c r="G212" t="s">
        <v>1136</v>
      </c>
      <c r="I212" t="s">
        <v>1136</v>
      </c>
      <c r="J212" t="s">
        <v>1136</v>
      </c>
      <c r="L212" t="s">
        <v>1362</v>
      </c>
      <c r="M212" t="s">
        <v>1438</v>
      </c>
      <c r="N212" t="s">
        <v>1623</v>
      </c>
      <c r="Q212" t="s">
        <v>1707</v>
      </c>
      <c r="W212" t="s">
        <v>1707</v>
      </c>
      <c r="X212" t="s">
        <v>1707</v>
      </c>
      <c r="Y212" t="s">
        <v>1707</v>
      </c>
      <c r="Z212" t="s">
        <v>1707</v>
      </c>
      <c r="AA212" t="s">
        <v>1707</v>
      </c>
      <c r="AB212" t="s">
        <v>1707</v>
      </c>
    </row>
    <row r="213" spans="1:29" ht="18.75" x14ac:dyDescent="0.25">
      <c r="A213" s="6">
        <f t="shared" si="5"/>
        <v>1</v>
      </c>
      <c r="B213" s="7" t="str">
        <f t="array" aca="1" ref="B213" ca="1">OFFSET(C213,,MATCH(TRUE,C213:AJ213&lt;&gt;"",0)-1)</f>
        <v xml:space="preserve"> Accionamiento</v>
      </c>
      <c r="C213" t="s">
        <v>941</v>
      </c>
      <c r="D213" t="s">
        <v>941</v>
      </c>
      <c r="E213" t="s">
        <v>941</v>
      </c>
      <c r="F213" t="s">
        <v>941</v>
      </c>
      <c r="G213" t="s">
        <v>941</v>
      </c>
      <c r="H213" t="s">
        <v>941</v>
      </c>
      <c r="I213" t="s">
        <v>941</v>
      </c>
      <c r="J213" t="s">
        <v>941</v>
      </c>
      <c r="K213" t="s">
        <v>1314</v>
      </c>
      <c r="L213" t="s">
        <v>1314</v>
      </c>
      <c r="M213" t="s">
        <v>1314</v>
      </c>
      <c r="N213" s="1" t="s">
        <v>1624</v>
      </c>
      <c r="O213" t="s">
        <v>1624</v>
      </c>
      <c r="P213" t="s">
        <v>1624</v>
      </c>
      <c r="Q213" t="s">
        <v>1624</v>
      </c>
      <c r="R213" t="s">
        <v>1624</v>
      </c>
      <c r="S213" t="s">
        <v>1624</v>
      </c>
      <c r="T213" t="s">
        <v>1624</v>
      </c>
      <c r="U213" t="s">
        <v>1624</v>
      </c>
      <c r="V213" t="s">
        <v>1624</v>
      </c>
      <c r="W213" t="s">
        <v>1624</v>
      </c>
      <c r="X213" t="s">
        <v>1624</v>
      </c>
      <c r="Y213" t="s">
        <v>1624</v>
      </c>
      <c r="Z213" t="s">
        <v>1624</v>
      </c>
      <c r="AA213" t="s">
        <v>1624</v>
      </c>
      <c r="AB213" t="s">
        <v>1624</v>
      </c>
    </row>
    <row r="214" spans="1:29" ht="18.75" x14ac:dyDescent="0.25">
      <c r="A214" s="6">
        <f t="shared" si="5"/>
        <v>1</v>
      </c>
      <c r="B214" s="7" t="str">
        <f t="array" aca="1" ref="B214" ca="1">OFFSET(C214,,MATCH(TRUE,C214:AJ214&lt;&gt;"",0)-1)</f>
        <v xml:space="preserve"> Cilindro elevador</v>
      </c>
      <c r="C214" t="s">
        <v>942</v>
      </c>
      <c r="D214" t="s">
        <v>942</v>
      </c>
      <c r="E214" t="s">
        <v>942</v>
      </c>
      <c r="F214" t="s">
        <v>942</v>
      </c>
      <c r="G214" t="s">
        <v>942</v>
      </c>
      <c r="H214" t="s">
        <v>942</v>
      </c>
      <c r="I214" t="s">
        <v>942</v>
      </c>
      <c r="J214" t="s">
        <v>942</v>
      </c>
      <c r="K214" t="s">
        <v>1315</v>
      </c>
      <c r="L214" t="s">
        <v>1315</v>
      </c>
      <c r="M214" t="s">
        <v>1315</v>
      </c>
      <c r="N214" t="s">
        <v>1625</v>
      </c>
      <c r="O214" t="s">
        <v>1625</v>
      </c>
      <c r="P214" s="1" t="s">
        <v>1625</v>
      </c>
      <c r="Q214" t="s">
        <v>1625</v>
      </c>
      <c r="R214" t="s">
        <v>1625</v>
      </c>
      <c r="S214" t="s">
        <v>1625</v>
      </c>
      <c r="T214" t="s">
        <v>1625</v>
      </c>
      <c r="U214" t="s">
        <v>1625</v>
      </c>
      <c r="V214" t="s">
        <v>1625</v>
      </c>
      <c r="W214" s="1" t="s">
        <v>1625</v>
      </c>
      <c r="X214" t="s">
        <v>1625</v>
      </c>
      <c r="Y214" t="s">
        <v>1625</v>
      </c>
      <c r="Z214" t="s">
        <v>1625</v>
      </c>
      <c r="AA214" t="s">
        <v>1625</v>
      </c>
      <c r="AB214" t="s">
        <v>1625</v>
      </c>
    </row>
    <row r="215" spans="1:29" ht="18.75" x14ac:dyDescent="0.25">
      <c r="A215" s="6">
        <f t="shared" si="5"/>
        <v>0.26923076923076927</v>
      </c>
      <c r="B215" s="7" t="str">
        <f t="array" aca="1" ref="B215" ca="1">OFFSET(C215,,MATCH(TRUE,C215:AJ215&lt;&gt;"",0)-1)</f>
        <v xml:space="preserve"> Cambiar junta del casquillo de enjuague</v>
      </c>
      <c r="C215" t="s">
        <v>943</v>
      </c>
      <c r="D215" s="1" t="s">
        <v>1057</v>
      </c>
      <c r="E215" t="s">
        <v>1057</v>
      </c>
      <c r="H215" t="s">
        <v>943</v>
      </c>
      <c r="Q215" t="s">
        <v>1708</v>
      </c>
      <c r="Z215" t="s">
        <v>1708</v>
      </c>
      <c r="AA215" t="s">
        <v>1708</v>
      </c>
    </row>
    <row r="216" spans="1:29" ht="18.75" x14ac:dyDescent="0.25">
      <c r="A216" s="6">
        <f t="shared" si="5"/>
        <v>1</v>
      </c>
      <c r="B216" s="7" t="str">
        <f t="array" aca="1" ref="B216" ca="1">OFFSET(C216,,MATCH(TRUE,C216:AJ216&lt;&gt;"",0)-1)</f>
        <v xml:space="preserve"> Válvula de llenado</v>
      </c>
      <c r="C216" t="s">
        <v>847</v>
      </c>
      <c r="D216" t="s">
        <v>847</v>
      </c>
      <c r="E216" t="s">
        <v>847</v>
      </c>
      <c r="F216" t="s">
        <v>847</v>
      </c>
      <c r="G216" t="s">
        <v>847</v>
      </c>
      <c r="H216" t="s">
        <v>847</v>
      </c>
      <c r="I216" t="s">
        <v>847</v>
      </c>
      <c r="J216" t="s">
        <v>847</v>
      </c>
      <c r="K216" t="s">
        <v>1227</v>
      </c>
      <c r="L216" t="s">
        <v>1227</v>
      </c>
      <c r="M216" t="s">
        <v>1418</v>
      </c>
      <c r="N216" t="s">
        <v>1529</v>
      </c>
      <c r="O216" t="s">
        <v>1529</v>
      </c>
      <c r="P216" t="s">
        <v>1529</v>
      </c>
      <c r="Q216" t="s">
        <v>1529</v>
      </c>
      <c r="R216" t="s">
        <v>1529</v>
      </c>
      <c r="S216" t="s">
        <v>1529</v>
      </c>
      <c r="T216" t="s">
        <v>1529</v>
      </c>
      <c r="U216" s="1" t="s">
        <v>1529</v>
      </c>
      <c r="V216" s="1" t="s">
        <v>1529</v>
      </c>
      <c r="W216" t="s">
        <v>1529</v>
      </c>
      <c r="X216" t="s">
        <v>1529</v>
      </c>
      <c r="Y216" t="s">
        <v>1529</v>
      </c>
      <c r="Z216" t="s">
        <v>1529</v>
      </c>
      <c r="AA216" t="s">
        <v>1529</v>
      </c>
      <c r="AB216" t="s">
        <v>1529</v>
      </c>
      <c r="AC216" s="1"/>
    </row>
    <row r="217" spans="1:29" ht="18.75" x14ac:dyDescent="0.25">
      <c r="A217" s="6">
        <f t="shared" si="5"/>
        <v>0.42307692307692313</v>
      </c>
      <c r="B217" s="7" t="str">
        <f t="array" aca="1" ref="B217" ca="1">OFFSET(C217,,MATCH(TRUE,C217:AJ217&lt;&gt;"",0)-1)</f>
        <v xml:space="preserve"> Cambio del caudalímetro de producto de llenado</v>
      </c>
      <c r="E217" t="s">
        <v>1106</v>
      </c>
      <c r="K217" s="1" t="s">
        <v>1316</v>
      </c>
      <c r="N217" t="s">
        <v>1626</v>
      </c>
      <c r="O217" t="s">
        <v>1626</v>
      </c>
      <c r="P217" t="s">
        <v>1626</v>
      </c>
      <c r="R217" t="s">
        <v>1626</v>
      </c>
      <c r="S217" s="1" t="s">
        <v>1626</v>
      </c>
      <c r="T217" s="1" t="s">
        <v>1626</v>
      </c>
      <c r="U217" t="s">
        <v>1626</v>
      </c>
      <c r="V217" t="s">
        <v>1626</v>
      </c>
      <c r="Z217" s="1" t="s">
        <v>1626</v>
      </c>
    </row>
    <row r="218" spans="1:29" ht="18.75" x14ac:dyDescent="0.25">
      <c r="A218" s="6">
        <f t="shared" si="5"/>
        <v>0.19230769230769229</v>
      </c>
      <c r="B218" s="7" t="str">
        <f t="array" aca="1" ref="B218" ca="1">OFFSET(C218,,MATCH(TRUE,C218:AJ218&lt;&gt;"",0)-1)</f>
        <v xml:space="preserve"> Amortiguador acústico de filtro del grupo de mantenimiento</v>
      </c>
      <c r="C218" t="s">
        <v>944</v>
      </c>
      <c r="D218" t="s">
        <v>1058</v>
      </c>
      <c r="E218" t="s">
        <v>1058</v>
      </c>
      <c r="F218" t="s">
        <v>1058</v>
      </c>
      <c r="H218" t="s">
        <v>944</v>
      </c>
    </row>
    <row r="219" spans="1:29" ht="18.75" x14ac:dyDescent="0.25">
      <c r="A219" s="6">
        <f t="shared" si="5"/>
        <v>0.57692307692307687</v>
      </c>
      <c r="B219" s="7" t="str">
        <f t="array" aca="1" ref="B219" ca="1">OFFSET(C219,,MATCH(TRUE,C219:AJ219&lt;&gt;"",0)-1)</f>
        <v xml:space="preserve"> Cambio de una válvula de proceso</v>
      </c>
      <c r="C219" t="s">
        <v>945</v>
      </c>
      <c r="D219" t="s">
        <v>945</v>
      </c>
      <c r="E219" t="s">
        <v>945</v>
      </c>
      <c r="F219" t="s">
        <v>945</v>
      </c>
      <c r="H219" t="s">
        <v>1172</v>
      </c>
      <c r="K219" t="s">
        <v>1317</v>
      </c>
      <c r="N219" s="1" t="s">
        <v>1627</v>
      </c>
      <c r="O219" t="s">
        <v>1627</v>
      </c>
      <c r="P219" t="s">
        <v>1627</v>
      </c>
      <c r="R219" t="s">
        <v>1627</v>
      </c>
      <c r="S219" t="s">
        <v>1627</v>
      </c>
      <c r="T219" t="s">
        <v>1627</v>
      </c>
      <c r="U219" t="s">
        <v>1627</v>
      </c>
      <c r="V219" t="s">
        <v>1627</v>
      </c>
      <c r="Z219" t="s">
        <v>1760</v>
      </c>
    </row>
    <row r="220" spans="1:29" ht="18.75" x14ac:dyDescent="0.25">
      <c r="A220" s="6">
        <f t="shared" si="5"/>
        <v>1</v>
      </c>
      <c r="B220" s="7" t="str">
        <f t="array" aca="1" ref="B220" ca="1">OFFSET(C220,,MATCH(TRUE,C220:AJ220&lt;&gt;"",0)-1)</f>
        <v xml:space="preserve"> Ajuste de altura</v>
      </c>
      <c r="C220" t="s">
        <v>946</v>
      </c>
      <c r="D220" s="1" t="s">
        <v>946</v>
      </c>
      <c r="E220" t="s">
        <v>946</v>
      </c>
      <c r="F220" t="s">
        <v>946</v>
      </c>
      <c r="G220" t="s">
        <v>946</v>
      </c>
      <c r="H220" t="s">
        <v>946</v>
      </c>
      <c r="I220" t="s">
        <v>946</v>
      </c>
      <c r="J220" t="s">
        <v>946</v>
      </c>
      <c r="K220" t="s">
        <v>946</v>
      </c>
      <c r="L220" t="s">
        <v>946</v>
      </c>
      <c r="M220" t="s">
        <v>946</v>
      </c>
      <c r="N220" t="s">
        <v>1628</v>
      </c>
      <c r="O220" t="s">
        <v>1628</v>
      </c>
      <c r="P220" s="1" t="s">
        <v>1628</v>
      </c>
      <c r="Q220" t="s">
        <v>1628</v>
      </c>
      <c r="R220" t="s">
        <v>1628</v>
      </c>
      <c r="S220" t="s">
        <v>1628</v>
      </c>
      <c r="T220" t="s">
        <v>1628</v>
      </c>
      <c r="U220" t="s">
        <v>1628</v>
      </c>
      <c r="V220" t="s">
        <v>1628</v>
      </c>
      <c r="W220" t="s">
        <v>1628</v>
      </c>
      <c r="X220" t="s">
        <v>1628</v>
      </c>
      <c r="Y220" t="s">
        <v>1628</v>
      </c>
      <c r="Z220" t="s">
        <v>1628</v>
      </c>
      <c r="AA220" t="s">
        <v>1628</v>
      </c>
      <c r="AB220" t="s">
        <v>1628</v>
      </c>
    </row>
    <row r="221" spans="1:29" ht="18.75" x14ac:dyDescent="0.25">
      <c r="A221" s="6">
        <f t="shared" si="5"/>
        <v>3.8461538461538436E-2</v>
      </c>
      <c r="B221" s="7" t="str">
        <f t="array" aca="1" ref="B221" ca="1">OFFSET(C221,,MATCH(TRUE,C221:AJ221&lt;&gt;"",0)-1)</f>
        <v xml:space="preserve"> Setting up the filling height adjustment</v>
      </c>
      <c r="AA221" t="s">
        <v>1764</v>
      </c>
    </row>
    <row r="222" spans="1:29" ht="18.75" x14ac:dyDescent="0.25">
      <c r="A222" s="6">
        <f t="shared" si="5"/>
        <v>3.8461538461538436E-2</v>
      </c>
      <c r="B222" s="7" t="str">
        <f t="array" aca="1" ref="B222" ca="1">OFFSET(C222,,MATCH(TRUE,C222:AJ222&lt;&gt;"",0)-1)</f>
        <v xml:space="preserve"> Adjusting the Trinox pipe</v>
      </c>
      <c r="P222" t="s">
        <v>1697</v>
      </c>
    </row>
    <row r="223" spans="1:29" ht="18.75" x14ac:dyDescent="0.25">
      <c r="A223" s="6">
        <f t="shared" si="5"/>
        <v>1</v>
      </c>
      <c r="B223" s="7" t="str">
        <f t="array" aca="1" ref="B223" ca="1">OFFSET(C223,,MATCH(TRUE,C223:AJ223&lt;&gt;"",0)-1)</f>
        <v xml:space="preserve"> Cambio de junta en el brazo articulado</v>
      </c>
      <c r="C223" t="s">
        <v>947</v>
      </c>
      <c r="D223" t="s">
        <v>1059</v>
      </c>
      <c r="E223" t="s">
        <v>1059</v>
      </c>
      <c r="F223" t="s">
        <v>1059</v>
      </c>
      <c r="G223" t="s">
        <v>1137</v>
      </c>
      <c r="H223" t="s">
        <v>1137</v>
      </c>
      <c r="I223" t="s">
        <v>1137</v>
      </c>
      <c r="J223" t="s">
        <v>1137</v>
      </c>
      <c r="K223" t="s">
        <v>1318</v>
      </c>
      <c r="L223" t="s">
        <v>1318</v>
      </c>
      <c r="M223" t="s">
        <v>1439</v>
      </c>
      <c r="N223" t="s">
        <v>1629</v>
      </c>
      <c r="O223" t="s">
        <v>1629</v>
      </c>
      <c r="P223" t="s">
        <v>1629</v>
      </c>
      <c r="Q223" t="s">
        <v>1629</v>
      </c>
      <c r="R223" s="1" t="s">
        <v>1629</v>
      </c>
      <c r="S223" t="s">
        <v>1629</v>
      </c>
      <c r="T223" t="s">
        <v>1629</v>
      </c>
      <c r="U223" s="1" t="s">
        <v>1629</v>
      </c>
      <c r="V223" s="1" t="s">
        <v>1629</v>
      </c>
      <c r="W223" t="s">
        <v>1629</v>
      </c>
      <c r="X223" t="s">
        <v>1629</v>
      </c>
      <c r="Y223" t="s">
        <v>1629</v>
      </c>
      <c r="Z223" t="s">
        <v>1629</v>
      </c>
      <c r="AA223" t="s">
        <v>1629</v>
      </c>
      <c r="AB223" t="s">
        <v>1629</v>
      </c>
    </row>
    <row r="224" spans="1:29" ht="18.75" x14ac:dyDescent="0.25">
      <c r="A224" s="6">
        <f t="shared" si="5"/>
        <v>3.8461538461538436E-2</v>
      </c>
      <c r="B224" s="7" t="str">
        <f t="array" aca="1" ref="B224" ca="1">OFFSET(C224,,MATCH(TRUE,C224:AJ224&lt;&gt;"",0)-1)</f>
        <v xml:space="preserve"> Limpiar el colector de suciedad</v>
      </c>
      <c r="C224" t="s">
        <v>948</v>
      </c>
    </row>
    <row r="225" spans="1:28" ht="18.75" x14ac:dyDescent="0.25">
      <c r="A225" s="6">
        <f t="shared" si="5"/>
        <v>0.88461538461538458</v>
      </c>
      <c r="B225" s="7" t="str">
        <f t="array" aca="1" ref="B225" ca="1">OFFSET(C225,,MATCH(TRUE,C225:AJ225&lt;&gt;"",0)-1)</f>
        <v xml:space="preserve"> Tapadora de tapas corona</v>
      </c>
      <c r="C225" t="s">
        <v>850</v>
      </c>
      <c r="D225" t="s">
        <v>1005</v>
      </c>
      <c r="E225" t="s">
        <v>1093</v>
      </c>
      <c r="F225" t="s">
        <v>1093</v>
      </c>
      <c r="G225" t="s">
        <v>850</v>
      </c>
      <c r="H225" t="s">
        <v>850</v>
      </c>
      <c r="I225" t="s">
        <v>850</v>
      </c>
      <c r="J225" t="s">
        <v>850</v>
      </c>
      <c r="K225" s="1" t="s">
        <v>1231</v>
      </c>
      <c r="L225" t="s">
        <v>1231</v>
      </c>
      <c r="M225" t="s">
        <v>1392</v>
      </c>
      <c r="N225" t="s">
        <v>1533</v>
      </c>
      <c r="O225" s="1" t="s">
        <v>1533</v>
      </c>
      <c r="Q225" t="s">
        <v>1533</v>
      </c>
      <c r="R225" t="s">
        <v>1533</v>
      </c>
      <c r="S225" t="s">
        <v>1533</v>
      </c>
      <c r="T225" t="s">
        <v>1533</v>
      </c>
      <c r="U225" t="s">
        <v>1533</v>
      </c>
      <c r="V225" t="s">
        <v>1533</v>
      </c>
      <c r="W225" s="1" t="s">
        <v>1533</v>
      </c>
      <c r="Y225" t="s">
        <v>1533</v>
      </c>
      <c r="Z225" s="1" t="s">
        <v>1533</v>
      </c>
      <c r="AB225" t="s">
        <v>1533</v>
      </c>
    </row>
    <row r="226" spans="1:28" ht="18.75" x14ac:dyDescent="0.25">
      <c r="A226" s="6">
        <f t="shared" si="5"/>
        <v>3.8461538461538436E-2</v>
      </c>
      <c r="B226" s="7" t="str">
        <f t="array" aca="1" ref="B226" ca="1">OFFSET(C226,,MATCH(TRUE,C226:AJ226&lt;&gt;"",0)-1)</f>
        <v xml:space="preserve"> Ring crown capper</v>
      </c>
      <c r="Z226" t="s">
        <v>1759</v>
      </c>
    </row>
    <row r="227" spans="1:28" ht="18.75" x14ac:dyDescent="0.25">
      <c r="A227" s="6">
        <f t="shared" si="5"/>
        <v>0.96153846153846156</v>
      </c>
      <c r="B227" s="12" t="str">
        <f t="array" aca="1" ref="B227" ca="1">OFFSET(C227,,MATCH(TRUE,C227:AJ227&lt;&gt;"",0)-1)</f>
        <v xml:space="preserve"> Fallas</v>
      </c>
      <c r="C227" s="13" t="s">
        <v>949</v>
      </c>
      <c r="D227" s="13" t="s">
        <v>1060</v>
      </c>
      <c r="E227" s="13" t="s">
        <v>1060</v>
      </c>
      <c r="F227" s="13" t="s">
        <v>1060</v>
      </c>
      <c r="G227" s="13" t="s">
        <v>949</v>
      </c>
      <c r="H227" s="13" t="s">
        <v>949</v>
      </c>
      <c r="I227" s="13" t="s">
        <v>949</v>
      </c>
      <c r="J227" s="13" t="s">
        <v>949</v>
      </c>
      <c r="K227" s="13" t="s">
        <v>1319</v>
      </c>
      <c r="L227" s="13" t="s">
        <v>1319</v>
      </c>
      <c r="M227" s="13" t="s">
        <v>1440</v>
      </c>
      <c r="N227" s="13" t="s">
        <v>1630</v>
      </c>
      <c r="O227" s="13" t="s">
        <v>1630</v>
      </c>
      <c r="P227" s="13" t="s">
        <v>1630</v>
      </c>
      <c r="Q227" s="13" t="s">
        <v>1630</v>
      </c>
      <c r="R227" s="13" t="s">
        <v>1630</v>
      </c>
      <c r="S227" s="13" t="s">
        <v>1630</v>
      </c>
      <c r="T227" s="13" t="s">
        <v>1630</v>
      </c>
      <c r="U227" s="13" t="s">
        <v>1630</v>
      </c>
      <c r="V227" s="13" t="s">
        <v>1630</v>
      </c>
      <c r="W227" s="13" t="s">
        <v>1630</v>
      </c>
      <c r="X227" s="13" t="s">
        <v>1630</v>
      </c>
      <c r="Y227" s="13"/>
      <c r="Z227" s="13" t="s">
        <v>1630</v>
      </c>
      <c r="AA227" s="13" t="s">
        <v>1630</v>
      </c>
      <c r="AB227" s="13" t="s">
        <v>1630</v>
      </c>
    </row>
    <row r="228" spans="1:28" ht="18.75" x14ac:dyDescent="0.25">
      <c r="A228" s="6">
        <f t="shared" si="5"/>
        <v>0.96153846153846156</v>
      </c>
      <c r="B228" s="7" t="str">
        <f t="array" aca="1" ref="B228" ca="1">OFFSET(C228,,MATCH(TRUE,C228:AJ228&lt;&gt;"",0)-1)</f>
        <v xml:space="preserve"> Indicaciones de seguridad</v>
      </c>
      <c r="C228" t="s">
        <v>886</v>
      </c>
      <c r="D228" t="s">
        <v>886</v>
      </c>
      <c r="E228" t="s">
        <v>886</v>
      </c>
      <c r="F228" t="s">
        <v>886</v>
      </c>
      <c r="G228" t="s">
        <v>886</v>
      </c>
      <c r="H228" t="s">
        <v>1164</v>
      </c>
      <c r="I228" t="s">
        <v>1164</v>
      </c>
      <c r="J228" t="s">
        <v>1164</v>
      </c>
      <c r="K228" t="s">
        <v>1263</v>
      </c>
      <c r="L228" t="s">
        <v>1263</v>
      </c>
      <c r="M228" t="s">
        <v>1399</v>
      </c>
      <c r="N228" t="s">
        <v>1570</v>
      </c>
      <c r="O228" t="s">
        <v>1570</v>
      </c>
      <c r="P228" t="s">
        <v>1570</v>
      </c>
      <c r="Q228" t="s">
        <v>1570</v>
      </c>
      <c r="R228" t="s">
        <v>1570</v>
      </c>
      <c r="S228" t="s">
        <v>1570</v>
      </c>
      <c r="T228" t="s">
        <v>1570</v>
      </c>
      <c r="U228" t="s">
        <v>1570</v>
      </c>
      <c r="V228" t="s">
        <v>1570</v>
      </c>
      <c r="W228" t="s">
        <v>1570</v>
      </c>
      <c r="X228" t="s">
        <v>1570</v>
      </c>
      <c r="Z228" t="s">
        <v>1570</v>
      </c>
      <c r="AA228" t="s">
        <v>1570</v>
      </c>
      <c r="AB228" t="s">
        <v>1570</v>
      </c>
    </row>
    <row r="229" spans="1:28" ht="18.75" x14ac:dyDescent="0.25">
      <c r="A229" s="6">
        <f t="shared" si="5"/>
        <v>7.6923076923076872E-2</v>
      </c>
      <c r="B229" s="7" t="str">
        <f t="array" aca="1" ref="B229" ca="1">OFFSET(C229,,MATCH(TRUE,C229:AJ229&lt;&gt;"",0)-1)</f>
        <v xml:space="preserve"> Modo operativo Teleservicio</v>
      </c>
      <c r="C229" t="s">
        <v>950</v>
      </c>
      <c r="L229" t="s">
        <v>1363</v>
      </c>
    </row>
    <row r="230" spans="1:28" ht="18.75" x14ac:dyDescent="0.25">
      <c r="A230" s="6">
        <f t="shared" si="5"/>
        <v>0.96153846153846156</v>
      </c>
      <c r="B230" s="7" t="str">
        <f t="array" aca="1" ref="B230" ca="1">OFFSET(C230,,MATCH(TRUE,C230:AJ230&lt;&gt;"",0)-1)</f>
        <v xml:space="preserve"> Indicadores</v>
      </c>
      <c r="C230" t="s">
        <v>951</v>
      </c>
      <c r="D230" t="s">
        <v>1061</v>
      </c>
      <c r="E230" t="s">
        <v>1061</v>
      </c>
      <c r="F230" t="s">
        <v>1061</v>
      </c>
      <c r="G230" t="s">
        <v>1138</v>
      </c>
      <c r="H230" t="s">
        <v>1138</v>
      </c>
      <c r="I230" t="s">
        <v>1138</v>
      </c>
      <c r="J230" t="s">
        <v>1138</v>
      </c>
      <c r="K230" t="s">
        <v>1320</v>
      </c>
      <c r="L230" t="s">
        <v>1320</v>
      </c>
      <c r="M230" t="s">
        <v>1441</v>
      </c>
      <c r="N230" t="s">
        <v>1631</v>
      </c>
      <c r="O230" t="s">
        <v>1631</v>
      </c>
      <c r="P230" t="s">
        <v>1631</v>
      </c>
      <c r="Q230" t="s">
        <v>1631</v>
      </c>
      <c r="R230" s="1" t="s">
        <v>1631</v>
      </c>
      <c r="S230" t="s">
        <v>1631</v>
      </c>
      <c r="T230" t="s">
        <v>1631</v>
      </c>
      <c r="U230" t="s">
        <v>1631</v>
      </c>
      <c r="V230" t="s">
        <v>1631</v>
      </c>
      <c r="W230" t="s">
        <v>1631</v>
      </c>
      <c r="X230" t="s">
        <v>1631</v>
      </c>
      <c r="Z230" t="s">
        <v>1631</v>
      </c>
      <c r="AA230" t="s">
        <v>1631</v>
      </c>
      <c r="AB230" t="s">
        <v>1631</v>
      </c>
    </row>
    <row r="231" spans="1:28" ht="18.75" x14ac:dyDescent="0.25">
      <c r="A231" s="6">
        <f t="shared" si="5"/>
        <v>0.96153846153846156</v>
      </c>
      <c r="B231" s="7" t="str">
        <f t="array" aca="1" ref="B231" ca="1">OFFSET(C231,,MATCH(TRUE,C231:AJ231&lt;&gt;"",0)-1)</f>
        <v xml:space="preserve"> Visualización de fallas con el piloto</v>
      </c>
      <c r="C231" t="s">
        <v>952</v>
      </c>
      <c r="D231" t="s">
        <v>1062</v>
      </c>
      <c r="E231" t="s">
        <v>1099</v>
      </c>
      <c r="F231" t="s">
        <v>1062</v>
      </c>
      <c r="G231" t="s">
        <v>952</v>
      </c>
      <c r="H231" t="s">
        <v>952</v>
      </c>
      <c r="I231" t="s">
        <v>1175</v>
      </c>
      <c r="J231" t="s">
        <v>1175</v>
      </c>
      <c r="K231" t="s">
        <v>1321</v>
      </c>
      <c r="L231" t="s">
        <v>1364</v>
      </c>
      <c r="M231" t="s">
        <v>1442</v>
      </c>
      <c r="N231" t="s">
        <v>1632</v>
      </c>
      <c r="O231" s="1" t="s">
        <v>1632</v>
      </c>
      <c r="P231" s="1" t="s">
        <v>1632</v>
      </c>
      <c r="Q231" t="s">
        <v>1632</v>
      </c>
      <c r="R231" t="s">
        <v>1632</v>
      </c>
      <c r="S231" t="s">
        <v>1632</v>
      </c>
      <c r="T231" t="s">
        <v>1632</v>
      </c>
      <c r="U231" t="s">
        <v>1632</v>
      </c>
      <c r="V231" t="s">
        <v>1632</v>
      </c>
      <c r="W231" t="s">
        <v>1632</v>
      </c>
      <c r="X231" t="s">
        <v>1632</v>
      </c>
      <c r="Z231" t="s">
        <v>1632</v>
      </c>
      <c r="AA231" t="s">
        <v>1765</v>
      </c>
      <c r="AB231" t="s">
        <v>1632</v>
      </c>
    </row>
    <row r="232" spans="1:28" ht="18.75" x14ac:dyDescent="0.25">
      <c r="A232" s="6">
        <f t="shared" si="5"/>
        <v>0.92307692307692313</v>
      </c>
      <c r="B232" s="7" t="str">
        <f t="array" aca="1" ref="B232" ca="1">OFFSET(C232,,MATCH(TRUE,C232:AJ232&lt;&gt;"",0)-1)</f>
        <v xml:space="preserve"> Bocina</v>
      </c>
      <c r="C232" t="s">
        <v>890</v>
      </c>
      <c r="D232" t="s">
        <v>890</v>
      </c>
      <c r="E232" t="s">
        <v>890</v>
      </c>
      <c r="F232" t="s">
        <v>890</v>
      </c>
      <c r="G232" t="s">
        <v>890</v>
      </c>
      <c r="H232" t="s">
        <v>890</v>
      </c>
      <c r="I232" t="s">
        <v>890</v>
      </c>
      <c r="J232" t="s">
        <v>890</v>
      </c>
      <c r="K232" t="s">
        <v>1267</v>
      </c>
      <c r="L232" t="s">
        <v>1267</v>
      </c>
      <c r="M232" t="s">
        <v>1401</v>
      </c>
      <c r="N232" t="s">
        <v>1574</v>
      </c>
      <c r="O232" t="s">
        <v>1574</v>
      </c>
      <c r="P232" t="s">
        <v>1574</v>
      </c>
      <c r="Q232" t="s">
        <v>1574</v>
      </c>
      <c r="R232" t="s">
        <v>1574</v>
      </c>
      <c r="S232" t="s">
        <v>1574</v>
      </c>
      <c r="T232" t="s">
        <v>1574</v>
      </c>
      <c r="U232" t="s">
        <v>1574</v>
      </c>
      <c r="V232" t="s">
        <v>1574</v>
      </c>
      <c r="W232" t="s">
        <v>1574</v>
      </c>
      <c r="X232" s="1" t="s">
        <v>1574</v>
      </c>
      <c r="Z232" t="s">
        <v>1574</v>
      </c>
      <c r="AA232" t="s">
        <v>1574</v>
      </c>
    </row>
    <row r="233" spans="1:28" ht="18.75" x14ac:dyDescent="0.25">
      <c r="A233" s="6">
        <f t="shared" si="5"/>
        <v>3.8461538461538436E-2</v>
      </c>
      <c r="B233" s="7" t="str">
        <f t="array" aca="1" ref="B233" ca="1">OFFSET(C233,,MATCH(TRUE,C233:AJ233&lt;&gt;"",0)-1)</f>
        <v xml:space="preserve"> Displaying machine automation fault messages</v>
      </c>
      <c r="AB233" t="s">
        <v>1915</v>
      </c>
    </row>
    <row r="234" spans="1:28" ht="18.75" x14ac:dyDescent="0.25">
      <c r="A234" s="6">
        <f t="shared" si="5"/>
        <v>0.96153846153846156</v>
      </c>
      <c r="B234" s="7" t="str">
        <f t="array" aca="1" ref="B234" ca="1">OFFSET(C234,,MATCH(TRUE,C234:AJ234&lt;&gt;"",0)-1)</f>
        <v xml:space="preserve"> Fallos y advertencias en el panel de operación</v>
      </c>
      <c r="C234" t="s">
        <v>953</v>
      </c>
      <c r="D234" t="s">
        <v>1063</v>
      </c>
      <c r="E234" t="s">
        <v>1063</v>
      </c>
      <c r="F234" t="s">
        <v>1063</v>
      </c>
      <c r="G234" t="s">
        <v>953</v>
      </c>
      <c r="H234" t="s">
        <v>953</v>
      </c>
      <c r="I234" t="s">
        <v>953</v>
      </c>
      <c r="J234" t="s">
        <v>953</v>
      </c>
      <c r="K234" t="s">
        <v>1322</v>
      </c>
      <c r="L234" t="s">
        <v>1322</v>
      </c>
      <c r="M234" s="1" t="s">
        <v>1443</v>
      </c>
      <c r="N234" t="s">
        <v>1633</v>
      </c>
      <c r="O234" t="s">
        <v>1633</v>
      </c>
      <c r="P234" t="s">
        <v>1633</v>
      </c>
      <c r="Q234" t="s">
        <v>1633</v>
      </c>
      <c r="R234" t="s">
        <v>1633</v>
      </c>
      <c r="S234" t="s">
        <v>1633</v>
      </c>
      <c r="T234" t="s">
        <v>1633</v>
      </c>
      <c r="U234" t="s">
        <v>1633</v>
      </c>
      <c r="V234" t="s">
        <v>1633</v>
      </c>
      <c r="W234" t="s">
        <v>1633</v>
      </c>
      <c r="X234" t="s">
        <v>1633</v>
      </c>
      <c r="Z234" t="s">
        <v>1633</v>
      </c>
      <c r="AA234" t="s">
        <v>1633</v>
      </c>
      <c r="AB234" t="s">
        <v>1633</v>
      </c>
    </row>
    <row r="235" spans="1:28" ht="18.75" x14ac:dyDescent="0.25">
      <c r="A235" s="6">
        <f t="shared" si="5"/>
        <v>0.96153846153846156</v>
      </c>
      <c r="B235" s="7" t="str">
        <f t="array" aca="1" ref="B235" ca="1">OFFSET(C235,,MATCH(TRUE,C235:AJ235&lt;&gt;"",0)-1)</f>
        <v xml:space="preserve"> Visualizaciones de fallas en la pantalla de vista general</v>
      </c>
      <c r="C235" t="s">
        <v>954</v>
      </c>
      <c r="D235" t="s">
        <v>1064</v>
      </c>
      <c r="E235" t="s">
        <v>1107</v>
      </c>
      <c r="F235" t="s">
        <v>1116</v>
      </c>
      <c r="G235" s="1" t="s">
        <v>1139</v>
      </c>
      <c r="H235" s="1" t="s">
        <v>1139</v>
      </c>
      <c r="I235" t="s">
        <v>1176</v>
      </c>
      <c r="J235" t="s">
        <v>1176</v>
      </c>
      <c r="K235" t="s">
        <v>1323</v>
      </c>
      <c r="L235" t="s">
        <v>1365</v>
      </c>
      <c r="M235" t="s">
        <v>1444</v>
      </c>
      <c r="N235" t="s">
        <v>1634</v>
      </c>
      <c r="O235" t="s">
        <v>1634</v>
      </c>
      <c r="P235" t="s">
        <v>1634</v>
      </c>
      <c r="Q235" s="1" t="s">
        <v>1709</v>
      </c>
      <c r="R235" t="s">
        <v>1634</v>
      </c>
      <c r="S235" t="s">
        <v>1634</v>
      </c>
      <c r="T235" t="s">
        <v>1634</v>
      </c>
      <c r="U235" t="s">
        <v>1634</v>
      </c>
      <c r="V235" t="s">
        <v>1634</v>
      </c>
      <c r="W235" t="s">
        <v>1634</v>
      </c>
      <c r="X235" t="s">
        <v>1634</v>
      </c>
      <c r="Z235" t="s">
        <v>1709</v>
      </c>
      <c r="AA235" t="s">
        <v>1709</v>
      </c>
      <c r="AB235" s="1" t="s">
        <v>1709</v>
      </c>
    </row>
    <row r="236" spans="1:28" ht="18.75" x14ac:dyDescent="0.25">
      <c r="A236" s="6">
        <f t="shared" si="5"/>
        <v>0.96153846153846156</v>
      </c>
      <c r="B236" s="7" t="str">
        <f t="array" aca="1" ref="B236" ca="1">OFFSET(C236,,MATCH(TRUE,C236:AJ236&lt;&gt;"",0)-1)</f>
        <v xml:space="preserve"> Subsanar</v>
      </c>
      <c r="C236" t="s">
        <v>955</v>
      </c>
      <c r="D236" t="s">
        <v>1065</v>
      </c>
      <c r="E236" t="s">
        <v>1065</v>
      </c>
      <c r="F236" t="s">
        <v>1065</v>
      </c>
      <c r="G236" t="s">
        <v>955</v>
      </c>
      <c r="H236" t="s">
        <v>955</v>
      </c>
      <c r="I236" t="s">
        <v>955</v>
      </c>
      <c r="J236" t="s">
        <v>955</v>
      </c>
      <c r="K236" t="s">
        <v>1261</v>
      </c>
      <c r="L236" t="s">
        <v>1261</v>
      </c>
      <c r="M236" t="s">
        <v>1445</v>
      </c>
      <c r="N236" t="s">
        <v>1635</v>
      </c>
      <c r="O236" t="s">
        <v>1635</v>
      </c>
      <c r="P236" t="s">
        <v>1635</v>
      </c>
      <c r="Q236" t="s">
        <v>1635</v>
      </c>
      <c r="R236" t="s">
        <v>1635</v>
      </c>
      <c r="S236" t="s">
        <v>1635</v>
      </c>
      <c r="T236" t="s">
        <v>1635</v>
      </c>
      <c r="U236" t="s">
        <v>1635</v>
      </c>
      <c r="V236" t="s">
        <v>1635</v>
      </c>
      <c r="W236" t="s">
        <v>1635</v>
      </c>
      <c r="X236" t="s">
        <v>1635</v>
      </c>
      <c r="Z236" t="s">
        <v>1635</v>
      </c>
      <c r="AA236" t="s">
        <v>1635</v>
      </c>
      <c r="AB236" t="s">
        <v>1635</v>
      </c>
    </row>
    <row r="237" spans="1:28" ht="18.75" x14ac:dyDescent="0.25">
      <c r="A237" s="6">
        <f t="shared" si="5"/>
        <v>0.96153846153846156</v>
      </c>
      <c r="B237" s="7" t="str">
        <f t="array" aca="1" ref="B237" ca="1">OFFSET(C237,,MATCH(TRUE,C237:AJ237&lt;&gt;"",0)-1)</f>
        <v xml:space="preserve"> Eliminar los avisos de fallas de la pantalla de vista sinóptica</v>
      </c>
      <c r="C237" t="s">
        <v>956</v>
      </c>
      <c r="D237" t="s">
        <v>1066</v>
      </c>
      <c r="E237" t="s">
        <v>1066</v>
      </c>
      <c r="F237" t="s">
        <v>1066</v>
      </c>
      <c r="G237" t="s">
        <v>956</v>
      </c>
      <c r="H237" t="s">
        <v>956</v>
      </c>
      <c r="I237" t="s">
        <v>956</v>
      </c>
      <c r="J237" t="s">
        <v>956</v>
      </c>
      <c r="K237" t="s">
        <v>1324</v>
      </c>
      <c r="L237" t="s">
        <v>1324</v>
      </c>
      <c r="M237" t="s">
        <v>1446</v>
      </c>
      <c r="N237" t="s">
        <v>1636</v>
      </c>
      <c r="O237" t="s">
        <v>1636</v>
      </c>
      <c r="P237" t="s">
        <v>1636</v>
      </c>
      <c r="Q237" t="s">
        <v>1636</v>
      </c>
      <c r="R237" t="s">
        <v>1636</v>
      </c>
      <c r="S237" t="s">
        <v>1636</v>
      </c>
      <c r="T237" t="s">
        <v>1636</v>
      </c>
      <c r="U237" t="s">
        <v>1636</v>
      </c>
      <c r="V237" t="s">
        <v>1636</v>
      </c>
      <c r="W237" t="s">
        <v>1636</v>
      </c>
      <c r="X237" t="s">
        <v>1636</v>
      </c>
      <c r="Z237" t="s">
        <v>1636</v>
      </c>
      <c r="AA237" t="s">
        <v>1636</v>
      </c>
      <c r="AB237" t="s">
        <v>1636</v>
      </c>
    </row>
    <row r="238" spans="1:28" ht="18.75" x14ac:dyDescent="0.25">
      <c r="A238" s="6">
        <f t="shared" si="5"/>
        <v>0.84615384615384615</v>
      </c>
      <c r="B238" s="7" t="str">
        <f t="array" aca="1" ref="B238" ca="1">OFFSET(C238,,MATCH(TRUE,C238:AJ238&lt;&gt;"",0)-1)</f>
        <v xml:space="preserve"> Sistema maestro DP/Profibus</v>
      </c>
      <c r="C238" t="s">
        <v>957</v>
      </c>
      <c r="E238" t="s">
        <v>1108</v>
      </c>
      <c r="F238" t="s">
        <v>1108</v>
      </c>
      <c r="G238" t="s">
        <v>957</v>
      </c>
      <c r="H238" t="s">
        <v>957</v>
      </c>
      <c r="I238" t="s">
        <v>957</v>
      </c>
      <c r="J238" t="s">
        <v>957</v>
      </c>
      <c r="K238" t="s">
        <v>1325</v>
      </c>
      <c r="L238" t="s">
        <v>1325</v>
      </c>
      <c r="M238" t="s">
        <v>1325</v>
      </c>
      <c r="N238" t="s">
        <v>1637</v>
      </c>
      <c r="O238" t="s">
        <v>1637</v>
      </c>
      <c r="P238" t="s">
        <v>1637</v>
      </c>
      <c r="Q238" t="s">
        <v>1637</v>
      </c>
      <c r="R238" t="s">
        <v>1637</v>
      </c>
      <c r="S238" t="s">
        <v>1637</v>
      </c>
      <c r="T238" t="s">
        <v>1637</v>
      </c>
      <c r="U238" t="s">
        <v>1637</v>
      </c>
      <c r="V238" t="s">
        <v>1637</v>
      </c>
      <c r="Y238" s="1"/>
      <c r="Z238" t="s">
        <v>1637</v>
      </c>
      <c r="AA238" t="s">
        <v>1637</v>
      </c>
      <c r="AB238" t="s">
        <v>1637</v>
      </c>
    </row>
    <row r="239" spans="1:28" ht="18.75" x14ac:dyDescent="0.25">
      <c r="A239" s="6">
        <f t="shared" si="5"/>
        <v>0.96153846153846156</v>
      </c>
      <c r="B239" s="7" t="str">
        <f t="array" aca="1" ref="B239" ca="1">OFFSET(C239,,MATCH(TRUE,C239:AJ239&lt;&gt;"",0)-1)</f>
        <v xml:space="preserve"> Averías en la parte eléctrica</v>
      </c>
      <c r="C239" t="s">
        <v>958</v>
      </c>
      <c r="D239" t="s">
        <v>1067</v>
      </c>
      <c r="E239" t="s">
        <v>1067</v>
      </c>
      <c r="F239" s="1" t="s">
        <v>1067</v>
      </c>
      <c r="G239" s="1" t="s">
        <v>958</v>
      </c>
      <c r="H239" t="s">
        <v>958</v>
      </c>
      <c r="I239" t="s">
        <v>958</v>
      </c>
      <c r="J239" s="1" t="s">
        <v>958</v>
      </c>
      <c r="K239" t="s">
        <v>1326</v>
      </c>
      <c r="L239" s="1" t="s">
        <v>1326</v>
      </c>
      <c r="M239" t="s">
        <v>1447</v>
      </c>
      <c r="N239" t="s">
        <v>1638</v>
      </c>
      <c r="O239" t="s">
        <v>1638</v>
      </c>
      <c r="P239" t="s">
        <v>1638</v>
      </c>
      <c r="Q239" s="1" t="s">
        <v>1638</v>
      </c>
      <c r="R239" t="s">
        <v>1638</v>
      </c>
      <c r="S239" t="s">
        <v>1638</v>
      </c>
      <c r="T239" t="s">
        <v>1638</v>
      </c>
      <c r="U239" t="s">
        <v>1638</v>
      </c>
      <c r="V239" t="s">
        <v>1638</v>
      </c>
      <c r="W239" t="s">
        <v>1638</v>
      </c>
      <c r="X239" t="s">
        <v>1638</v>
      </c>
      <c r="Z239" t="s">
        <v>1638</v>
      </c>
      <c r="AA239" t="s">
        <v>1638</v>
      </c>
      <c r="AB239" s="1" t="s">
        <v>1638</v>
      </c>
    </row>
    <row r="240" spans="1:28" ht="18.75" x14ac:dyDescent="0.25">
      <c r="A240" s="6">
        <f t="shared" si="5"/>
        <v>0.96153846153846156</v>
      </c>
      <c r="B240" s="7" t="str">
        <f t="array" aca="1" ref="B240" ca="1">OFFSET(C240,,MATCH(TRUE,C240:AJ240&lt;&gt;"",0)-1)</f>
        <v xml:space="preserve"> Revestimiento de la máquina</v>
      </c>
      <c r="C240" t="s">
        <v>824</v>
      </c>
      <c r="D240" t="s">
        <v>824</v>
      </c>
      <c r="E240" t="s">
        <v>824</v>
      </c>
      <c r="F240" t="s">
        <v>824</v>
      </c>
      <c r="G240" t="s">
        <v>824</v>
      </c>
      <c r="H240" t="s">
        <v>1152</v>
      </c>
      <c r="I240" t="s">
        <v>1152</v>
      </c>
      <c r="J240" t="s">
        <v>1152</v>
      </c>
      <c r="K240" t="s">
        <v>1203</v>
      </c>
      <c r="L240" t="s">
        <v>1203</v>
      </c>
      <c r="M240" t="s">
        <v>1203</v>
      </c>
      <c r="N240" t="s">
        <v>1506</v>
      </c>
      <c r="O240" t="s">
        <v>1506</v>
      </c>
      <c r="P240" t="s">
        <v>1506</v>
      </c>
      <c r="Q240" t="s">
        <v>1506</v>
      </c>
      <c r="R240" t="s">
        <v>1506</v>
      </c>
      <c r="S240" t="s">
        <v>1506</v>
      </c>
      <c r="T240" t="s">
        <v>1506</v>
      </c>
      <c r="U240" t="s">
        <v>1506</v>
      </c>
      <c r="V240" t="s">
        <v>1506</v>
      </c>
      <c r="W240" t="s">
        <v>1506</v>
      </c>
      <c r="X240" t="s">
        <v>1506</v>
      </c>
      <c r="Z240" t="s">
        <v>1506</v>
      </c>
      <c r="AA240" t="s">
        <v>1506</v>
      </c>
      <c r="AB240" t="s">
        <v>1506</v>
      </c>
    </row>
    <row r="241" spans="1:28" ht="18.75" x14ac:dyDescent="0.25">
      <c r="A241" s="6">
        <f t="shared" si="5"/>
        <v>0.96153846153846156</v>
      </c>
      <c r="B241" s="7" t="str">
        <f t="array" aca="1" ref="B241" ca="1">OFFSET(C241,,MATCH(TRUE,C241:AJ241&lt;&gt;"",0)-1)</f>
        <v xml:space="preserve"> Lubricación central</v>
      </c>
      <c r="C241" t="s">
        <v>940</v>
      </c>
      <c r="D241" t="s">
        <v>940</v>
      </c>
      <c r="E241" t="s">
        <v>940</v>
      </c>
      <c r="F241" t="s">
        <v>940</v>
      </c>
      <c r="G241" t="s">
        <v>940</v>
      </c>
      <c r="H241" t="s">
        <v>940</v>
      </c>
      <c r="I241" t="s">
        <v>940</v>
      </c>
      <c r="J241" t="s">
        <v>940</v>
      </c>
      <c r="K241" t="s">
        <v>1313</v>
      </c>
      <c r="L241" t="s">
        <v>1313</v>
      </c>
      <c r="M241" t="s">
        <v>1313</v>
      </c>
      <c r="N241" t="s">
        <v>1623</v>
      </c>
      <c r="O241" t="s">
        <v>1623</v>
      </c>
      <c r="P241" t="s">
        <v>1623</v>
      </c>
      <c r="Q241" t="s">
        <v>1623</v>
      </c>
      <c r="R241" t="s">
        <v>1623</v>
      </c>
      <c r="S241" t="s">
        <v>1623</v>
      </c>
      <c r="T241" t="s">
        <v>1623</v>
      </c>
      <c r="U241" t="s">
        <v>1623</v>
      </c>
      <c r="V241" t="s">
        <v>1623</v>
      </c>
      <c r="W241" t="s">
        <v>1623</v>
      </c>
      <c r="X241" t="s">
        <v>1623</v>
      </c>
      <c r="Z241" t="s">
        <v>1623</v>
      </c>
      <c r="AA241" t="s">
        <v>1623</v>
      </c>
      <c r="AB241" t="s">
        <v>1623</v>
      </c>
    </row>
    <row r="242" spans="1:28" ht="18.75" x14ac:dyDescent="0.25">
      <c r="A242" s="6">
        <f t="shared" si="5"/>
        <v>0.96153846153846156</v>
      </c>
      <c r="B242" s="7" t="str">
        <f t="array" aca="1" ref="B242" ca="1">OFFSET(C242,,MATCH(TRUE,C242:AJ242&lt;&gt;"",0)-1)</f>
        <v xml:space="preserve"> Fallas en el servoaccionamiento</v>
      </c>
      <c r="C242" t="s">
        <v>959</v>
      </c>
      <c r="D242" t="s">
        <v>1068</v>
      </c>
      <c r="E242" t="s">
        <v>1068</v>
      </c>
      <c r="F242" t="s">
        <v>1068</v>
      </c>
      <c r="G242" t="s">
        <v>959</v>
      </c>
      <c r="H242" t="s">
        <v>959</v>
      </c>
      <c r="I242" s="1" t="s">
        <v>959</v>
      </c>
      <c r="J242" t="s">
        <v>959</v>
      </c>
      <c r="K242" t="s">
        <v>1327</v>
      </c>
      <c r="L242" t="s">
        <v>1327</v>
      </c>
      <c r="M242" t="s">
        <v>1448</v>
      </c>
      <c r="N242" t="s">
        <v>1639</v>
      </c>
      <c r="O242" t="s">
        <v>1639</v>
      </c>
      <c r="P242" s="1" t="s">
        <v>1639</v>
      </c>
      <c r="Q242" t="s">
        <v>1639</v>
      </c>
      <c r="R242" t="s">
        <v>1639</v>
      </c>
      <c r="S242" t="s">
        <v>1639</v>
      </c>
      <c r="T242" t="s">
        <v>1639</v>
      </c>
      <c r="U242" t="s">
        <v>1639</v>
      </c>
      <c r="V242" t="s">
        <v>1639</v>
      </c>
      <c r="W242" t="s">
        <v>1639</v>
      </c>
      <c r="X242" t="s">
        <v>1639</v>
      </c>
      <c r="Y242" s="1"/>
      <c r="Z242" t="s">
        <v>1639</v>
      </c>
      <c r="AA242" t="s">
        <v>1639</v>
      </c>
      <c r="AB242" t="s">
        <v>1639</v>
      </c>
    </row>
    <row r="243" spans="1:28" ht="18.75" x14ac:dyDescent="0.25">
      <c r="A243" s="6">
        <f t="shared" si="5"/>
        <v>0.15384615384615385</v>
      </c>
      <c r="B243" s="7" t="str">
        <f t="array" aca="1" ref="B243" ca="1">OFFSET(C243,,MATCH(TRUE,C243:AJ243&lt;&gt;"",0)-1)</f>
        <v xml:space="preserve"> Enjuagadora</v>
      </c>
      <c r="F243" s="1" t="s">
        <v>1117</v>
      </c>
      <c r="K243" t="s">
        <v>1328</v>
      </c>
      <c r="S243" t="s">
        <v>1718</v>
      </c>
      <c r="T243" t="s">
        <v>1718</v>
      </c>
    </row>
    <row r="244" spans="1:28" ht="18.75" x14ac:dyDescent="0.25">
      <c r="A244" s="6">
        <f t="shared" si="5"/>
        <v>0.96153846153846156</v>
      </c>
      <c r="B244" s="7" t="str">
        <f t="array" aca="1" ref="B244" ca="1">OFFSET(C244,,MATCH(TRUE,C244:AJ244&lt;&gt;"",0)-1)</f>
        <v xml:space="preserve"> Llenadora</v>
      </c>
      <c r="C244" t="s">
        <v>865</v>
      </c>
      <c r="D244" t="s">
        <v>865</v>
      </c>
      <c r="E244" t="s">
        <v>865</v>
      </c>
      <c r="F244" t="s">
        <v>865</v>
      </c>
      <c r="G244" t="s">
        <v>865</v>
      </c>
      <c r="H244" t="s">
        <v>865</v>
      </c>
      <c r="I244" t="s">
        <v>865</v>
      </c>
      <c r="J244" s="1" t="s">
        <v>865</v>
      </c>
      <c r="K244" t="s">
        <v>1245</v>
      </c>
      <c r="L244" s="1" t="s">
        <v>1245</v>
      </c>
      <c r="M244" t="s">
        <v>1449</v>
      </c>
      <c r="N244" t="s">
        <v>1548</v>
      </c>
      <c r="O244" t="s">
        <v>1548</v>
      </c>
      <c r="P244" t="s">
        <v>1548</v>
      </c>
      <c r="Q244" t="s">
        <v>1548</v>
      </c>
      <c r="R244" t="s">
        <v>1548</v>
      </c>
      <c r="S244" t="s">
        <v>1548</v>
      </c>
      <c r="T244" t="s">
        <v>1548</v>
      </c>
      <c r="U244" t="s">
        <v>1548</v>
      </c>
      <c r="V244" t="s">
        <v>1548</v>
      </c>
      <c r="W244" t="s">
        <v>1548</v>
      </c>
      <c r="X244" t="s">
        <v>1548</v>
      </c>
      <c r="Z244" t="s">
        <v>1548</v>
      </c>
      <c r="AA244" t="s">
        <v>1548</v>
      </c>
      <c r="AB244" t="s">
        <v>1548</v>
      </c>
    </row>
    <row r="245" spans="1:28" ht="18.75" x14ac:dyDescent="0.25">
      <c r="A245" s="6">
        <f t="shared" si="5"/>
        <v>0.96153846153846156</v>
      </c>
      <c r="B245" s="7" t="str">
        <f t="array" aca="1" ref="B245" ca="1">OFFSET(C245,,MATCH(TRUE,C245:AJ245&lt;&gt;"",0)-1)</f>
        <v xml:space="preserve"> Válvula de llenado</v>
      </c>
      <c r="C245" t="s">
        <v>847</v>
      </c>
      <c r="D245" t="s">
        <v>847</v>
      </c>
      <c r="E245" t="s">
        <v>847</v>
      </c>
      <c r="F245" t="s">
        <v>847</v>
      </c>
      <c r="G245" t="s">
        <v>847</v>
      </c>
      <c r="H245" t="s">
        <v>847</v>
      </c>
      <c r="I245" t="s">
        <v>847</v>
      </c>
      <c r="J245" t="s">
        <v>847</v>
      </c>
      <c r="K245" t="s">
        <v>1227</v>
      </c>
      <c r="L245" t="s">
        <v>1227</v>
      </c>
      <c r="M245" t="s">
        <v>1418</v>
      </c>
      <c r="N245" t="s">
        <v>1529</v>
      </c>
      <c r="O245" t="s">
        <v>1529</v>
      </c>
      <c r="P245" t="s">
        <v>1529</v>
      </c>
      <c r="Q245" t="s">
        <v>1529</v>
      </c>
      <c r="R245" t="s">
        <v>1529</v>
      </c>
      <c r="S245" t="s">
        <v>1529</v>
      </c>
      <c r="T245" t="s">
        <v>1529</v>
      </c>
      <c r="U245" t="s">
        <v>1529</v>
      </c>
      <c r="V245" t="s">
        <v>1529</v>
      </c>
      <c r="W245" t="s">
        <v>1529</v>
      </c>
      <c r="X245" t="s">
        <v>1529</v>
      </c>
      <c r="Z245" t="s">
        <v>1529</v>
      </c>
      <c r="AA245" t="s">
        <v>1529</v>
      </c>
      <c r="AB245" t="s">
        <v>1529</v>
      </c>
    </row>
    <row r="246" spans="1:28" ht="18.75" x14ac:dyDescent="0.25">
      <c r="A246" s="6">
        <f t="shared" si="5"/>
        <v>0.84615384615384615</v>
      </c>
      <c r="B246" s="7" t="str">
        <f t="array" aca="1" ref="B246" ca="1">OFFSET(C246,,MATCH(TRUE,C246:AJ246&lt;&gt;"",0)-1)</f>
        <v xml:space="preserve"> Tapadora de tapas corona</v>
      </c>
      <c r="C246" t="s">
        <v>850</v>
      </c>
      <c r="D246" t="s">
        <v>1005</v>
      </c>
      <c r="E246" t="s">
        <v>1093</v>
      </c>
      <c r="F246" t="s">
        <v>1093</v>
      </c>
      <c r="G246" t="s">
        <v>850</v>
      </c>
      <c r="H246" t="s">
        <v>850</v>
      </c>
      <c r="I246" t="s">
        <v>850</v>
      </c>
      <c r="J246" t="s">
        <v>850</v>
      </c>
      <c r="K246" t="s">
        <v>1231</v>
      </c>
      <c r="L246" t="s">
        <v>1231</v>
      </c>
      <c r="M246" t="s">
        <v>1392</v>
      </c>
      <c r="N246" t="s">
        <v>1533</v>
      </c>
      <c r="O246" t="s">
        <v>1533</v>
      </c>
      <c r="Q246" t="s">
        <v>1533</v>
      </c>
      <c r="R246" t="s">
        <v>1533</v>
      </c>
      <c r="S246" t="s">
        <v>1533</v>
      </c>
      <c r="T246" t="s">
        <v>1533</v>
      </c>
      <c r="U246" t="s">
        <v>1533</v>
      </c>
      <c r="V246" t="s">
        <v>1533</v>
      </c>
      <c r="W246" t="s">
        <v>1533</v>
      </c>
      <c r="Z246" t="s">
        <v>1533</v>
      </c>
      <c r="AB246" t="s">
        <v>1533</v>
      </c>
    </row>
    <row r="247" spans="1:28" ht="18.75" x14ac:dyDescent="0.25">
      <c r="A247" s="6">
        <f t="shared" si="5"/>
        <v>3.8461538461538436E-2</v>
      </c>
      <c r="B247" s="7" t="str">
        <f t="array" aca="1" ref="B247" ca="1">OFFSET(C247,,MATCH(TRUE,C247:AJ247&lt;&gt;"",0)-1)</f>
        <v xml:space="preserve"> Ring crown capper</v>
      </c>
      <c r="Z247" t="s">
        <v>1759</v>
      </c>
    </row>
    <row r="248" spans="1:28" ht="18.75" x14ac:dyDescent="0.25">
      <c r="A248" s="6">
        <f t="shared" si="5"/>
        <v>0.19230769230769229</v>
      </c>
      <c r="B248" s="7" t="str">
        <f t="array" aca="1" ref="B248" ca="1">OFFSET(C248,,MATCH(TRUE,C248:AJ248&lt;&gt;"",0)-1)</f>
        <v xml:space="preserve"> Tapadora de tapas a rosca</v>
      </c>
      <c r="H248" t="s">
        <v>1160</v>
      </c>
      <c r="N248" t="s">
        <v>1534</v>
      </c>
      <c r="P248" t="s">
        <v>1698</v>
      </c>
      <c r="X248" t="s">
        <v>1698</v>
      </c>
      <c r="Z248" t="s">
        <v>1698</v>
      </c>
    </row>
    <row r="249" spans="1:28" ht="18.75" x14ac:dyDescent="0.25">
      <c r="A249" s="6">
        <f t="shared" si="5"/>
        <v>0.96153846153846156</v>
      </c>
      <c r="B249" s="7" t="str">
        <f t="array" aca="1" ref="B249" ca="1">OFFSET(C249,,MATCH(TRUE,C249:AJ249&lt;&gt;"",0)-1)</f>
        <v xml:space="preserve"> Nodo de válvulas de la llenadora</v>
      </c>
      <c r="C249" t="s">
        <v>960</v>
      </c>
      <c r="D249" t="s">
        <v>1069</v>
      </c>
      <c r="E249" t="s">
        <v>844</v>
      </c>
      <c r="F249" t="s">
        <v>960</v>
      </c>
      <c r="G249" t="s">
        <v>844</v>
      </c>
      <c r="H249" t="s">
        <v>844</v>
      </c>
      <c r="I249" s="1" t="s">
        <v>844</v>
      </c>
      <c r="J249" t="s">
        <v>844</v>
      </c>
      <c r="K249" t="s">
        <v>1329</v>
      </c>
      <c r="L249" t="s">
        <v>1223</v>
      </c>
      <c r="M249" t="s">
        <v>1387</v>
      </c>
      <c r="N249" t="s">
        <v>1640</v>
      </c>
      <c r="O249" t="s">
        <v>1640</v>
      </c>
      <c r="P249" t="s">
        <v>1640</v>
      </c>
      <c r="Q249" t="s">
        <v>1526</v>
      </c>
      <c r="R249" t="s">
        <v>1640</v>
      </c>
      <c r="S249" t="s">
        <v>1640</v>
      </c>
      <c r="T249" t="s">
        <v>1640</v>
      </c>
      <c r="U249" t="s">
        <v>1640</v>
      </c>
      <c r="V249" t="s">
        <v>1640</v>
      </c>
      <c r="W249" t="s">
        <v>1640</v>
      </c>
      <c r="X249" t="s">
        <v>1640</v>
      </c>
      <c r="Z249" t="s">
        <v>1526</v>
      </c>
      <c r="AA249" t="s">
        <v>1526</v>
      </c>
      <c r="AB249" t="s">
        <v>1526</v>
      </c>
    </row>
    <row r="250" spans="1:28" ht="18.75" x14ac:dyDescent="0.25">
      <c r="A250" s="6">
        <f t="shared" si="5"/>
        <v>7.6923076923076872E-2</v>
      </c>
      <c r="B250" s="7" t="str">
        <f t="array" aca="1" ref="B250" ca="1">OFFSET(C250,,MATCH(TRUE,C250:AJ250&lt;&gt;"",0)-1)</f>
        <v xml:space="preserve"> Ligar ReDis Single</v>
      </c>
      <c r="M250" t="s">
        <v>1450</v>
      </c>
      <c r="AA250" t="s">
        <v>1766</v>
      </c>
    </row>
    <row r="251" spans="1:28" ht="18.75" x14ac:dyDescent="0.25">
      <c r="A251" s="6">
        <f t="shared" si="5"/>
        <v>0.34615384615384615</v>
      </c>
      <c r="B251" s="7" t="str">
        <f t="array" aca="1" ref="B251" ca="1">OFFSET(C251,,MATCH(TRUE,C251:AJ251&lt;&gt;"",0)-1)</f>
        <v xml:space="preserve"> Equipo UPS externo</v>
      </c>
      <c r="H251" t="s">
        <v>1161</v>
      </c>
      <c r="I251" t="s">
        <v>1161</v>
      </c>
      <c r="J251" t="s">
        <v>1161</v>
      </c>
      <c r="K251" t="s">
        <v>1330</v>
      </c>
      <c r="L251" t="s">
        <v>1330</v>
      </c>
      <c r="N251" t="s">
        <v>1641</v>
      </c>
      <c r="U251" t="s">
        <v>1641</v>
      </c>
      <c r="V251" t="s">
        <v>1641</v>
      </c>
      <c r="Z251" t="s">
        <v>1641</v>
      </c>
    </row>
    <row r="252" spans="1:28" ht="18.75" x14ac:dyDescent="0.25">
      <c r="A252" s="6">
        <f t="shared" si="5"/>
        <v>0.11538461538461542</v>
      </c>
      <c r="B252" s="7" t="str">
        <f t="array" aca="1" ref="B252" ca="1">OFFSET(C252,,MATCH(TRUE,C252:AJ252&lt;&gt;"",0)-1)</f>
        <v xml:space="preserve"> Modo operativo Teleservicio</v>
      </c>
      <c r="C252" t="s">
        <v>950</v>
      </c>
      <c r="N252" t="s">
        <v>1642</v>
      </c>
      <c r="P252" t="s">
        <v>1642</v>
      </c>
    </row>
    <row r="253" spans="1:28" ht="18.75" x14ac:dyDescent="0.25">
      <c r="A253" s="6">
        <f t="shared" si="5"/>
        <v>0.96153846153846156</v>
      </c>
      <c r="B253" s="12" t="str">
        <f t="array" aca="1" ref="B253" ca="1">OFFSET(C253,,MATCH(TRUE,C253:AJ253&lt;&gt;"",0)-1)</f>
        <v xml:space="preserve"> Datos técnicos</v>
      </c>
      <c r="C253" s="13" t="s">
        <v>961</v>
      </c>
      <c r="D253" s="13" t="s">
        <v>961</v>
      </c>
      <c r="E253" s="13" t="s">
        <v>961</v>
      </c>
      <c r="F253" s="13" t="s">
        <v>961</v>
      </c>
      <c r="G253" s="13" t="s">
        <v>961</v>
      </c>
      <c r="H253" s="13" t="s">
        <v>961</v>
      </c>
      <c r="I253" s="13" t="s">
        <v>961</v>
      </c>
      <c r="J253" s="13" t="s">
        <v>961</v>
      </c>
      <c r="K253" s="13" t="s">
        <v>1331</v>
      </c>
      <c r="L253" s="13" t="s">
        <v>1331</v>
      </c>
      <c r="M253" s="13" t="s">
        <v>1331</v>
      </c>
      <c r="N253" s="13" t="s">
        <v>1643</v>
      </c>
      <c r="O253" s="13" t="s">
        <v>1643</v>
      </c>
      <c r="P253" s="13" t="s">
        <v>1643</v>
      </c>
      <c r="Q253" s="13" t="s">
        <v>1643</v>
      </c>
      <c r="R253" s="13" t="s">
        <v>1643</v>
      </c>
      <c r="S253" s="13" t="s">
        <v>1643</v>
      </c>
      <c r="T253" s="13" t="s">
        <v>1643</v>
      </c>
      <c r="U253" s="13" t="s">
        <v>1643</v>
      </c>
      <c r="V253" s="13" t="s">
        <v>1643</v>
      </c>
      <c r="W253" s="13" t="s">
        <v>1643</v>
      </c>
      <c r="X253" s="13" t="s">
        <v>1643</v>
      </c>
      <c r="Y253" s="13"/>
      <c r="Z253" s="13" t="s">
        <v>1643</v>
      </c>
      <c r="AA253" s="13" t="s">
        <v>1643</v>
      </c>
      <c r="AB253" s="13" t="s">
        <v>1643</v>
      </c>
    </row>
    <row r="254" spans="1:28" ht="18.75" x14ac:dyDescent="0.25">
      <c r="A254" s="6">
        <f t="shared" si="5"/>
        <v>0.34615384615384615</v>
      </c>
      <c r="B254" s="7" t="str">
        <f t="array" aca="1" ref="B254" ca="1">OFFSET(C254,,MATCH(TRUE,C254:AJ254&lt;&gt;"",0)-1)</f>
        <v xml:space="preserve"> Medidas del arnés de seguridad</v>
      </c>
      <c r="F254" t="s">
        <v>1118</v>
      </c>
      <c r="G254" t="s">
        <v>1140</v>
      </c>
      <c r="H254" t="s">
        <v>1140</v>
      </c>
      <c r="I254" t="s">
        <v>1140</v>
      </c>
      <c r="J254" t="s">
        <v>1140</v>
      </c>
      <c r="L254" t="s">
        <v>1366</v>
      </c>
      <c r="Q254" t="s">
        <v>1710</v>
      </c>
      <c r="AA254" t="s">
        <v>1710</v>
      </c>
      <c r="AB254" t="s">
        <v>1710</v>
      </c>
    </row>
    <row r="255" spans="1:28" ht="18.75" x14ac:dyDescent="0.25">
      <c r="A255" s="6">
        <f t="shared" si="5"/>
        <v>0.96153846153846156</v>
      </c>
      <c r="B255" s="7" t="str">
        <f t="array" aca="1" ref="B255" ca="1">OFFSET(C255,,MATCH(TRUE,C255:AJ255&lt;&gt;"",0)-1)</f>
        <v xml:space="preserve"> Requerimientos respecto de los medios</v>
      </c>
      <c r="C255" t="s">
        <v>962</v>
      </c>
      <c r="D255" t="s">
        <v>1070</v>
      </c>
      <c r="E255" t="s">
        <v>1070</v>
      </c>
      <c r="F255" t="s">
        <v>1070</v>
      </c>
      <c r="G255" t="s">
        <v>962</v>
      </c>
      <c r="H255" t="s">
        <v>962</v>
      </c>
      <c r="I255" t="s">
        <v>962</v>
      </c>
      <c r="J255" t="s">
        <v>962</v>
      </c>
      <c r="K255" t="s">
        <v>1332</v>
      </c>
      <c r="L255" t="s">
        <v>1332</v>
      </c>
      <c r="M255" t="s">
        <v>1332</v>
      </c>
      <c r="N255" t="s">
        <v>1644</v>
      </c>
      <c r="O255" t="s">
        <v>1644</v>
      </c>
      <c r="P255" t="s">
        <v>1644</v>
      </c>
      <c r="Q255" t="s">
        <v>1644</v>
      </c>
      <c r="R255" t="s">
        <v>1644</v>
      </c>
      <c r="S255" t="s">
        <v>1644</v>
      </c>
      <c r="T255" t="s">
        <v>1644</v>
      </c>
      <c r="U255" t="s">
        <v>1644</v>
      </c>
      <c r="V255" t="s">
        <v>1644</v>
      </c>
      <c r="W255" t="s">
        <v>1644</v>
      </c>
      <c r="X255" t="s">
        <v>1644</v>
      </c>
      <c r="Z255" t="s">
        <v>1644</v>
      </c>
      <c r="AA255" t="s">
        <v>1644</v>
      </c>
      <c r="AB255" t="s">
        <v>1644</v>
      </c>
    </row>
    <row r="256" spans="1:28" ht="18.75" x14ac:dyDescent="0.25">
      <c r="A256" s="6">
        <f t="shared" si="5"/>
        <v>0.84615384615384615</v>
      </c>
      <c r="B256" s="7" t="str">
        <f t="array" aca="1" ref="B256" ca="1">OFFSET(C256,,MATCH(TRUE,C256:AJ256&lt;&gt;"",0)-1)</f>
        <v xml:space="preserve"> Explicación de conceptos</v>
      </c>
      <c r="D256" t="s">
        <v>1071</v>
      </c>
      <c r="E256" t="s">
        <v>1071</v>
      </c>
      <c r="F256" t="s">
        <v>1071</v>
      </c>
      <c r="G256" t="s">
        <v>1141</v>
      </c>
      <c r="H256" t="s">
        <v>1141</v>
      </c>
      <c r="I256" t="s">
        <v>1141</v>
      </c>
      <c r="J256" t="s">
        <v>1141</v>
      </c>
      <c r="K256" t="s">
        <v>1333</v>
      </c>
      <c r="L256" t="s">
        <v>1333</v>
      </c>
      <c r="M256" t="s">
        <v>1333</v>
      </c>
      <c r="O256" t="s">
        <v>1678</v>
      </c>
      <c r="Q256" t="s">
        <v>1678</v>
      </c>
      <c r="R256" t="s">
        <v>1678</v>
      </c>
      <c r="S256" t="s">
        <v>1678</v>
      </c>
      <c r="T256" t="s">
        <v>1678</v>
      </c>
      <c r="U256" t="s">
        <v>1678</v>
      </c>
      <c r="V256" t="s">
        <v>1678</v>
      </c>
      <c r="W256" t="s">
        <v>1678</v>
      </c>
      <c r="X256" t="s">
        <v>1678</v>
      </c>
      <c r="Z256" t="s">
        <v>1678</v>
      </c>
      <c r="AA256" t="s">
        <v>1678</v>
      </c>
      <c r="AB256" t="s">
        <v>1678</v>
      </c>
    </row>
    <row r="257" spans="1:28" ht="18.75" x14ac:dyDescent="0.25">
      <c r="A257" s="6">
        <f t="shared" si="5"/>
        <v>0.84615384615384615</v>
      </c>
      <c r="B257" s="7" t="str">
        <f t="array" aca="1" ref="B257" ca="1">OFFSET(C257,,MATCH(TRUE,C257:AJ257&lt;&gt;"",0)-1)</f>
        <v xml:space="preserve"> Agua</v>
      </c>
      <c r="D257" t="s">
        <v>1072</v>
      </c>
      <c r="E257" t="s">
        <v>1072</v>
      </c>
      <c r="F257" t="s">
        <v>1072</v>
      </c>
      <c r="G257" t="s">
        <v>1072</v>
      </c>
      <c r="H257" t="s">
        <v>1072</v>
      </c>
      <c r="I257" t="s">
        <v>1072</v>
      </c>
      <c r="J257" t="s">
        <v>1072</v>
      </c>
      <c r="K257" t="s">
        <v>1334</v>
      </c>
      <c r="L257" t="s">
        <v>1334</v>
      </c>
      <c r="M257" t="s">
        <v>1334</v>
      </c>
      <c r="O257" t="s">
        <v>1679</v>
      </c>
      <c r="Q257" t="s">
        <v>1679</v>
      </c>
      <c r="R257" t="s">
        <v>1679</v>
      </c>
      <c r="S257" t="s">
        <v>1679</v>
      </c>
      <c r="T257" t="s">
        <v>1679</v>
      </c>
      <c r="U257" t="s">
        <v>1679</v>
      </c>
      <c r="V257" t="s">
        <v>1679</v>
      </c>
      <c r="W257" t="s">
        <v>1679</v>
      </c>
      <c r="X257" t="s">
        <v>1679</v>
      </c>
      <c r="Z257" t="s">
        <v>1679</v>
      </c>
      <c r="AA257" t="s">
        <v>1679</v>
      </c>
      <c r="AB257" t="s">
        <v>1679</v>
      </c>
    </row>
    <row r="258" spans="1:28" ht="18.75" x14ac:dyDescent="0.25">
      <c r="A258" s="6">
        <f t="shared" si="5"/>
        <v>0.80769230769230771</v>
      </c>
      <c r="B258" s="7" t="str">
        <f t="array" aca="1" ref="B258" ca="1">OFFSET(C258,,MATCH(TRUE,C258:AJ258&lt;&gt;"",0)-1)</f>
        <v xml:space="preserve"> Aire</v>
      </c>
      <c r="D258" t="s">
        <v>1073</v>
      </c>
      <c r="E258" t="s">
        <v>1073</v>
      </c>
      <c r="F258" t="s">
        <v>1073</v>
      </c>
      <c r="G258" t="s">
        <v>1073</v>
      </c>
      <c r="H258" t="s">
        <v>1073</v>
      </c>
      <c r="I258" t="s">
        <v>1073</v>
      </c>
      <c r="J258" t="s">
        <v>1073</v>
      </c>
      <c r="K258" t="s">
        <v>1335</v>
      </c>
      <c r="L258" t="s">
        <v>1335</v>
      </c>
      <c r="O258" t="s">
        <v>1680</v>
      </c>
      <c r="Q258" t="s">
        <v>1680</v>
      </c>
      <c r="R258" t="s">
        <v>1680</v>
      </c>
      <c r="S258" t="s">
        <v>1680</v>
      </c>
      <c r="T258" t="s">
        <v>1680</v>
      </c>
      <c r="U258" t="s">
        <v>1680</v>
      </c>
      <c r="V258" t="s">
        <v>1680</v>
      </c>
      <c r="W258" t="s">
        <v>1680</v>
      </c>
      <c r="X258" t="s">
        <v>1680</v>
      </c>
      <c r="Z258" t="s">
        <v>1680</v>
      </c>
      <c r="AA258" t="s">
        <v>1680</v>
      </c>
      <c r="AB258" t="s">
        <v>1680</v>
      </c>
    </row>
    <row r="259" spans="1:28" ht="18.75" x14ac:dyDescent="0.25">
      <c r="A259" s="6">
        <f t="shared" si="5"/>
        <v>7.6923076923076872E-2</v>
      </c>
      <c r="B259" s="7" t="str">
        <f t="array" aca="1" ref="B259" ca="1">OFFSET(C259,,MATCH(TRUE,C259:AJ259&lt;&gt;"",0)-1)</f>
        <v xml:space="preserve"> Aire comprimido</v>
      </c>
      <c r="G259" t="s">
        <v>1142</v>
      </c>
      <c r="M259" t="s">
        <v>1451</v>
      </c>
    </row>
    <row r="260" spans="1:28" ht="18.75" x14ac:dyDescent="0.25">
      <c r="A260" s="6">
        <f t="shared" ref="A260:A284" si="6">(1-COUNTBLANK(C260:AB260)/COLUMNS(C260:AB260))</f>
        <v>0.80769230769230771</v>
      </c>
      <c r="B260" s="7" t="str">
        <f t="array" aca="1" ref="B260" ca="1">OFFSET(C260,,MATCH(TRUE,C260:AJ260&lt;&gt;"",0)-1)</f>
        <v xml:space="preserve"> Gases presurizados</v>
      </c>
      <c r="D260" t="s">
        <v>1074</v>
      </c>
      <c r="E260" t="s">
        <v>1074</v>
      </c>
      <c r="F260" t="s">
        <v>1074</v>
      </c>
      <c r="G260" t="s">
        <v>1143</v>
      </c>
      <c r="H260" t="s">
        <v>1143</v>
      </c>
      <c r="I260" t="s">
        <v>1143</v>
      </c>
      <c r="J260" t="s">
        <v>1143</v>
      </c>
      <c r="K260" t="s">
        <v>1336</v>
      </c>
      <c r="L260" t="s">
        <v>1336</v>
      </c>
      <c r="M260" t="s">
        <v>1452</v>
      </c>
      <c r="O260" t="s">
        <v>1681</v>
      </c>
      <c r="Q260" t="s">
        <v>1681</v>
      </c>
      <c r="R260" t="s">
        <v>1681</v>
      </c>
      <c r="S260" t="s">
        <v>1681</v>
      </c>
      <c r="T260" t="s">
        <v>1681</v>
      </c>
      <c r="U260" t="s">
        <v>1681</v>
      </c>
      <c r="V260" t="s">
        <v>1681</v>
      </c>
      <c r="W260" t="s">
        <v>1681</v>
      </c>
      <c r="Z260" t="s">
        <v>1681</v>
      </c>
      <c r="AA260" t="s">
        <v>1681</v>
      </c>
      <c r="AB260" t="s">
        <v>1681</v>
      </c>
    </row>
    <row r="261" spans="1:28" ht="18.75" x14ac:dyDescent="0.25">
      <c r="A261" s="6">
        <f t="shared" si="6"/>
        <v>0.19230769230769229</v>
      </c>
      <c r="B261" s="7" t="str">
        <f t="array" aca="1" ref="B261" ca="1">OFFSET(C261,,MATCH(TRUE,C261:AJ261&lt;&gt;"",0)-1)</f>
        <v xml:space="preserve"> Vapor</v>
      </c>
      <c r="D261" t="s">
        <v>1075</v>
      </c>
      <c r="L261" t="s">
        <v>1075</v>
      </c>
      <c r="Q261" t="s">
        <v>1711</v>
      </c>
      <c r="Z261" t="s">
        <v>1711</v>
      </c>
      <c r="AB261" t="s">
        <v>1711</v>
      </c>
    </row>
    <row r="262" spans="1:28" ht="18.75" x14ac:dyDescent="0.25">
      <c r="A262" s="6">
        <f t="shared" si="6"/>
        <v>0.80769230769230771</v>
      </c>
      <c r="B262" s="7" t="str">
        <f t="array" aca="1" ref="B262" ca="1">OFFSET(C262,,MATCH(TRUE,C262:AJ262&lt;&gt;"",0)-1)</f>
        <v xml:space="preserve"> Productos que se van a envasar</v>
      </c>
      <c r="D262" t="s">
        <v>1076</v>
      </c>
      <c r="E262" t="s">
        <v>1076</v>
      </c>
      <c r="F262" t="s">
        <v>1076</v>
      </c>
      <c r="G262" t="s">
        <v>1144</v>
      </c>
      <c r="H262" t="s">
        <v>1144</v>
      </c>
      <c r="I262" t="s">
        <v>1144</v>
      </c>
      <c r="J262" t="s">
        <v>1144</v>
      </c>
      <c r="K262" t="s">
        <v>1337</v>
      </c>
      <c r="L262" t="s">
        <v>1337</v>
      </c>
      <c r="O262" t="s">
        <v>1682</v>
      </c>
      <c r="Q262" t="s">
        <v>1682</v>
      </c>
      <c r="R262" t="s">
        <v>1682</v>
      </c>
      <c r="S262" t="s">
        <v>1682</v>
      </c>
      <c r="T262" t="s">
        <v>1682</v>
      </c>
      <c r="U262" t="s">
        <v>1682</v>
      </c>
      <c r="V262" t="s">
        <v>1682</v>
      </c>
      <c r="W262" t="s">
        <v>1682</v>
      </c>
      <c r="X262" t="s">
        <v>1682</v>
      </c>
      <c r="Z262" t="s">
        <v>1682</v>
      </c>
      <c r="AA262" t="s">
        <v>1682</v>
      </c>
      <c r="AB262" t="s">
        <v>1682</v>
      </c>
    </row>
    <row r="263" spans="1:28" ht="18.75" x14ac:dyDescent="0.25">
      <c r="A263" s="6">
        <f t="shared" si="6"/>
        <v>0.53846153846153844</v>
      </c>
      <c r="B263" s="7" t="str">
        <f t="array" aca="1" ref="B263" ca="1">OFFSET(C263,,MATCH(TRUE,C263:AJ263&lt;&gt;"",0)-1)</f>
        <v xml:space="preserve"> Recomendaciones para la limpieza</v>
      </c>
      <c r="D263" t="s">
        <v>1077</v>
      </c>
      <c r="E263" s="1" t="s">
        <v>1077</v>
      </c>
      <c r="F263" t="s">
        <v>1077</v>
      </c>
      <c r="G263" t="s">
        <v>1145</v>
      </c>
      <c r="H263" t="s">
        <v>1145</v>
      </c>
      <c r="I263" t="s">
        <v>1145</v>
      </c>
      <c r="J263" t="s">
        <v>1145</v>
      </c>
      <c r="L263" t="s">
        <v>1367</v>
      </c>
      <c r="M263" t="s">
        <v>1453</v>
      </c>
      <c r="Q263" t="s">
        <v>1712</v>
      </c>
      <c r="X263" t="s">
        <v>1712</v>
      </c>
      <c r="Z263" t="s">
        <v>1712</v>
      </c>
      <c r="AA263" t="s">
        <v>1712</v>
      </c>
      <c r="AB263" t="s">
        <v>1712</v>
      </c>
    </row>
    <row r="264" spans="1:28" ht="18.75" x14ac:dyDescent="0.25">
      <c r="A264" s="6">
        <f t="shared" si="6"/>
        <v>0.96153846153846156</v>
      </c>
      <c r="B264" s="7" t="str">
        <f t="array" aca="1" ref="B264" ca="1">OFFSET(C264,,MATCH(TRUE,C264:AJ264&lt;&gt;"",0)-1)</f>
        <v xml:space="preserve"> Funcionamiento</v>
      </c>
      <c r="C264" t="s">
        <v>885</v>
      </c>
      <c r="D264" t="s">
        <v>885</v>
      </c>
      <c r="E264" t="s">
        <v>885</v>
      </c>
      <c r="F264" t="s">
        <v>885</v>
      </c>
      <c r="G264" t="s">
        <v>885</v>
      </c>
      <c r="H264" t="s">
        <v>1163</v>
      </c>
      <c r="I264" t="s">
        <v>1163</v>
      </c>
      <c r="J264" t="s">
        <v>1163</v>
      </c>
      <c r="K264" t="s">
        <v>1262</v>
      </c>
      <c r="L264" t="s">
        <v>1262</v>
      </c>
      <c r="M264" t="s">
        <v>1262</v>
      </c>
      <c r="N264" t="s">
        <v>1569</v>
      </c>
      <c r="O264" t="s">
        <v>1569</v>
      </c>
      <c r="P264" t="s">
        <v>1569</v>
      </c>
      <c r="Q264" t="s">
        <v>1569</v>
      </c>
      <c r="R264" t="s">
        <v>1569</v>
      </c>
      <c r="S264" t="s">
        <v>1569</v>
      </c>
      <c r="T264" t="s">
        <v>1569</v>
      </c>
      <c r="U264" t="s">
        <v>1569</v>
      </c>
      <c r="V264" t="s">
        <v>1569</v>
      </c>
      <c r="W264" t="s">
        <v>1569</v>
      </c>
      <c r="X264" t="s">
        <v>1569</v>
      </c>
      <c r="Z264" t="s">
        <v>1569</v>
      </c>
      <c r="AA264" t="s">
        <v>1569</v>
      </c>
      <c r="AB264" t="s">
        <v>1569</v>
      </c>
    </row>
    <row r="265" spans="1:28" ht="18.75" x14ac:dyDescent="0.25">
      <c r="A265" s="6">
        <f t="shared" si="6"/>
        <v>0.84615384615384615</v>
      </c>
      <c r="B265" s="7" t="str">
        <f t="array" aca="1" ref="B265" ca="1">OFFSET(C265,,MATCH(TRUE,C265:AJ265&lt;&gt;"",0)-1)</f>
        <v xml:space="preserve"> Datos de la máquina</v>
      </c>
      <c r="C265" t="s">
        <v>963</v>
      </c>
      <c r="D265" t="s">
        <v>963</v>
      </c>
      <c r="E265" t="s">
        <v>963</v>
      </c>
      <c r="F265" t="s">
        <v>963</v>
      </c>
      <c r="G265" t="s">
        <v>963</v>
      </c>
      <c r="H265" t="s">
        <v>963</v>
      </c>
      <c r="I265" t="s">
        <v>963</v>
      </c>
      <c r="J265" t="s">
        <v>963</v>
      </c>
      <c r="K265" t="s">
        <v>1338</v>
      </c>
      <c r="L265" t="s">
        <v>1338</v>
      </c>
      <c r="M265" s="1" t="s">
        <v>1338</v>
      </c>
      <c r="N265" t="s">
        <v>1645</v>
      </c>
      <c r="P265" t="s">
        <v>1645</v>
      </c>
      <c r="R265" t="s">
        <v>1645</v>
      </c>
      <c r="S265" t="s">
        <v>1645</v>
      </c>
      <c r="T265" t="s">
        <v>1645</v>
      </c>
      <c r="U265" t="s">
        <v>1645</v>
      </c>
      <c r="V265" t="s">
        <v>1645</v>
      </c>
      <c r="W265" t="s">
        <v>1645</v>
      </c>
      <c r="X265" t="s">
        <v>1645</v>
      </c>
      <c r="Z265" t="s">
        <v>1645</v>
      </c>
      <c r="AB265" t="s">
        <v>1645</v>
      </c>
    </row>
    <row r="266" spans="1:28" ht="18.75" x14ac:dyDescent="0.25">
      <c r="A266" s="6">
        <f t="shared" si="6"/>
        <v>3.8461538461538436E-2</v>
      </c>
      <c r="B266" s="7" t="str">
        <f t="array" aca="1" ref="B266" ca="1">OFFSET(C266,,MATCH(TRUE,C266:AJ266&lt;&gt;"",0)-1)</f>
        <v xml:space="preserve"> Datos del depósito de presión</v>
      </c>
      <c r="G266" t="s">
        <v>1146</v>
      </c>
    </row>
    <row r="267" spans="1:28" ht="18.75" x14ac:dyDescent="0.25">
      <c r="A267" s="6">
        <f t="shared" si="6"/>
        <v>3.8461538461538436E-2</v>
      </c>
      <c r="B267" s="7" t="str">
        <f t="array" aca="1" ref="B267" ca="1">OFFSET(C267,,MATCH(TRUE,C267:AJ267&lt;&gt;"",0)-1)</f>
        <v xml:space="preserve"> Media connection list</v>
      </c>
      <c r="N267" t="s">
        <v>1647</v>
      </c>
    </row>
    <row r="268" spans="1:28" ht="18.75" x14ac:dyDescent="0.25">
      <c r="A268" s="6">
        <f t="shared" si="6"/>
        <v>0.84615384615384615</v>
      </c>
      <c r="B268" s="7" t="str">
        <f t="array" aca="1" ref="B268" ca="1">OFFSET(C268,,MATCH(TRUE,C268:AJ268&lt;&gt;"",0)-1)</f>
        <v xml:space="preserve"> Esquema de tuberías</v>
      </c>
      <c r="C268" t="s">
        <v>964</v>
      </c>
      <c r="D268" t="s">
        <v>1078</v>
      </c>
      <c r="E268" t="s">
        <v>1078</v>
      </c>
      <c r="F268" t="s">
        <v>1078</v>
      </c>
      <c r="G268" t="s">
        <v>1147</v>
      </c>
      <c r="H268" t="s">
        <v>1147</v>
      </c>
      <c r="I268" t="s">
        <v>1147</v>
      </c>
      <c r="J268" t="s">
        <v>1147</v>
      </c>
      <c r="K268" t="s">
        <v>1339</v>
      </c>
      <c r="L268" t="s">
        <v>1147</v>
      </c>
      <c r="M268" t="s">
        <v>1454</v>
      </c>
      <c r="N268" t="s">
        <v>1646</v>
      </c>
      <c r="P268" t="s">
        <v>1646</v>
      </c>
      <c r="R268" t="s">
        <v>1646</v>
      </c>
      <c r="S268" t="s">
        <v>1646</v>
      </c>
      <c r="T268" t="s">
        <v>1646</v>
      </c>
      <c r="U268" t="s">
        <v>1646</v>
      </c>
      <c r="V268" t="s">
        <v>1646</v>
      </c>
      <c r="W268" t="s">
        <v>1646</v>
      </c>
      <c r="X268" t="s">
        <v>1646</v>
      </c>
      <c r="Z268" t="s">
        <v>1646</v>
      </c>
      <c r="AB268" t="s">
        <v>1646</v>
      </c>
    </row>
    <row r="269" spans="1:28" ht="18.75" x14ac:dyDescent="0.25">
      <c r="A269" s="6">
        <f t="shared" si="6"/>
        <v>0.96153846153846156</v>
      </c>
      <c r="B269" s="7" t="str">
        <f t="array" aca="1" ref="B269" ca="1">OFFSET(C269,,MATCH(TRUE,C269:AJ269&lt;&gt;"",0)-1)</f>
        <v xml:space="preserve"> Emisiones acústicas</v>
      </c>
      <c r="C269" t="s">
        <v>965</v>
      </c>
      <c r="D269" t="s">
        <v>1079</v>
      </c>
      <c r="E269" t="s">
        <v>1079</v>
      </c>
      <c r="F269" t="s">
        <v>1079</v>
      </c>
      <c r="G269" t="s">
        <v>965</v>
      </c>
      <c r="H269" t="s">
        <v>965</v>
      </c>
      <c r="I269" t="s">
        <v>965</v>
      </c>
      <c r="J269" t="s">
        <v>965</v>
      </c>
      <c r="K269" t="s">
        <v>1340</v>
      </c>
      <c r="L269" t="s">
        <v>1340</v>
      </c>
      <c r="M269" t="s">
        <v>1340</v>
      </c>
      <c r="N269" t="s">
        <v>1648</v>
      </c>
      <c r="O269" t="s">
        <v>1648</v>
      </c>
      <c r="P269" t="s">
        <v>1648</v>
      </c>
      <c r="Q269" t="s">
        <v>1648</v>
      </c>
      <c r="R269" t="s">
        <v>1648</v>
      </c>
      <c r="S269" t="s">
        <v>1648</v>
      </c>
      <c r="T269" t="s">
        <v>1648</v>
      </c>
      <c r="U269" t="s">
        <v>1648</v>
      </c>
      <c r="V269" t="s">
        <v>1648</v>
      </c>
      <c r="W269" t="s">
        <v>1648</v>
      </c>
      <c r="X269" t="s">
        <v>1648</v>
      </c>
      <c r="Z269" t="s">
        <v>1648</v>
      </c>
      <c r="AA269" t="s">
        <v>1648</v>
      </c>
      <c r="AB269" t="s">
        <v>1648</v>
      </c>
    </row>
    <row r="270" spans="1:28" ht="18.75" x14ac:dyDescent="0.25">
      <c r="A270" s="6">
        <f t="shared" si="6"/>
        <v>0.92307692307692313</v>
      </c>
      <c r="B270" s="7" t="str">
        <f t="array" aca="1" ref="B270" ca="1">OFFSET(C270,,MATCH(TRUE,C270:AJ270&lt;&gt;"",0)-1)</f>
        <v xml:space="preserve"> Datos técnicos de llenado</v>
      </c>
      <c r="C270" t="s">
        <v>966</v>
      </c>
      <c r="D270" t="s">
        <v>1080</v>
      </c>
      <c r="E270" t="s">
        <v>1080</v>
      </c>
      <c r="F270" t="s">
        <v>1080</v>
      </c>
      <c r="G270" t="s">
        <v>966</v>
      </c>
      <c r="H270" t="s">
        <v>966</v>
      </c>
      <c r="I270" t="s">
        <v>966</v>
      </c>
      <c r="J270" t="s">
        <v>966</v>
      </c>
      <c r="K270" t="s">
        <v>1341</v>
      </c>
      <c r="L270" t="s">
        <v>1341</v>
      </c>
      <c r="M270" t="s">
        <v>1455</v>
      </c>
      <c r="N270" t="s">
        <v>1649</v>
      </c>
      <c r="P270" t="s">
        <v>1649</v>
      </c>
      <c r="Q270" t="s">
        <v>1650</v>
      </c>
      <c r="R270" t="s">
        <v>1649</v>
      </c>
      <c r="S270" t="s">
        <v>1649</v>
      </c>
      <c r="T270" t="s">
        <v>1649</v>
      </c>
      <c r="U270" t="s">
        <v>1649</v>
      </c>
      <c r="V270" t="s">
        <v>1649</v>
      </c>
      <c r="W270" t="s">
        <v>1649</v>
      </c>
      <c r="X270" t="s">
        <v>1649</v>
      </c>
      <c r="Z270" s="1" t="s">
        <v>1649</v>
      </c>
      <c r="AA270" t="s">
        <v>1650</v>
      </c>
      <c r="AB270" t="s">
        <v>1649</v>
      </c>
    </row>
    <row r="271" spans="1:28" ht="18.75" x14ac:dyDescent="0.25">
      <c r="A271" s="6">
        <f t="shared" si="6"/>
        <v>0.88461538461538458</v>
      </c>
      <c r="B271" s="7" t="str">
        <f t="array" aca="1" ref="B271" ca="1">OFFSET(C271,,MATCH(TRUE,C271:AJ271&lt;&gt;"",0)-1)</f>
        <v xml:space="preserve"> Valores de ajuste</v>
      </c>
      <c r="C271" t="s">
        <v>967</v>
      </c>
      <c r="D271" t="s">
        <v>967</v>
      </c>
      <c r="E271" t="s">
        <v>967</v>
      </c>
      <c r="F271" t="s">
        <v>967</v>
      </c>
      <c r="G271" t="s">
        <v>967</v>
      </c>
      <c r="H271" t="s">
        <v>967</v>
      </c>
      <c r="I271" t="s">
        <v>967</v>
      </c>
      <c r="J271" t="s">
        <v>967</v>
      </c>
      <c r="K271" t="s">
        <v>967</v>
      </c>
      <c r="L271" t="s">
        <v>967</v>
      </c>
      <c r="M271" s="1" t="s">
        <v>967</v>
      </c>
      <c r="N271" t="s">
        <v>1650</v>
      </c>
      <c r="P271" t="s">
        <v>1650</v>
      </c>
      <c r="R271" t="s">
        <v>1650</v>
      </c>
      <c r="S271" s="1" t="s">
        <v>1650</v>
      </c>
      <c r="T271" s="1" t="s">
        <v>1650</v>
      </c>
      <c r="U271" t="s">
        <v>1650</v>
      </c>
      <c r="V271" t="s">
        <v>1650</v>
      </c>
      <c r="W271" t="s">
        <v>1650</v>
      </c>
      <c r="X271" t="s">
        <v>1650</v>
      </c>
      <c r="Z271" t="s">
        <v>1650</v>
      </c>
      <c r="AA271" t="s">
        <v>1767</v>
      </c>
      <c r="AB271" t="s">
        <v>1650</v>
      </c>
    </row>
    <row r="272" spans="1:28" ht="18.75" x14ac:dyDescent="0.25">
      <c r="A272" s="6">
        <f t="shared" si="6"/>
        <v>3.8461538461538436E-2</v>
      </c>
      <c r="B272" s="7" t="str">
        <f t="array" aca="1" ref="B272" ca="1">OFFSET(C272,,MATCH(TRUE,C272:AJ272&lt;&gt;"",0)-1)</f>
        <v xml:space="preserve"> Labeling of interchangeable parts</v>
      </c>
      <c r="N272" t="s">
        <v>1651</v>
      </c>
    </row>
    <row r="273" spans="1:28" ht="18.75" x14ac:dyDescent="0.25">
      <c r="A273" s="6">
        <f t="shared" si="6"/>
        <v>0.92307692307692313</v>
      </c>
      <c r="B273" s="7" t="str">
        <f t="array" aca="1" ref="B273" ca="1">OFFSET(C273,,MATCH(TRUE,C273:AJ273&lt;&gt;"",0)-1)</f>
        <v xml:space="preserve"> Mantenimiento y reparación</v>
      </c>
      <c r="C273" t="s">
        <v>922</v>
      </c>
      <c r="D273" t="s">
        <v>1047</v>
      </c>
      <c r="E273" t="s">
        <v>1047</v>
      </c>
      <c r="F273" t="s">
        <v>1047</v>
      </c>
      <c r="G273" t="s">
        <v>922</v>
      </c>
      <c r="I273" t="s">
        <v>922</v>
      </c>
      <c r="J273" t="s">
        <v>922</v>
      </c>
      <c r="K273" t="s">
        <v>1296</v>
      </c>
      <c r="L273" t="s">
        <v>1296</v>
      </c>
      <c r="M273" t="s">
        <v>1302</v>
      </c>
      <c r="N273" t="s">
        <v>1605</v>
      </c>
      <c r="O273" t="s">
        <v>1605</v>
      </c>
      <c r="P273" t="s">
        <v>1605</v>
      </c>
      <c r="Q273" t="s">
        <v>1605</v>
      </c>
      <c r="R273" t="s">
        <v>1605</v>
      </c>
      <c r="S273" t="s">
        <v>1605</v>
      </c>
      <c r="T273" t="s">
        <v>1605</v>
      </c>
      <c r="U273" t="s">
        <v>1605</v>
      </c>
      <c r="V273" t="s">
        <v>1605</v>
      </c>
      <c r="W273" t="s">
        <v>1605</v>
      </c>
      <c r="X273" t="s">
        <v>1605</v>
      </c>
      <c r="Z273" t="s">
        <v>1605</v>
      </c>
      <c r="AA273" t="s">
        <v>1605</v>
      </c>
      <c r="AB273" t="s">
        <v>1605</v>
      </c>
    </row>
    <row r="274" spans="1:28" ht="18.75" x14ac:dyDescent="0.25">
      <c r="A274" s="6">
        <f t="shared" si="6"/>
        <v>0.15384615384615385</v>
      </c>
      <c r="B274" s="7" t="str">
        <f t="array" aca="1" ref="B274" ca="1">OFFSET(C274,,MATCH(TRUE,C274:AJ274&lt;&gt;"",0)-1)</f>
        <v xml:space="preserve"> Lubricantes</v>
      </c>
      <c r="C274" t="s">
        <v>968</v>
      </c>
      <c r="N274" s="1" t="s">
        <v>1652</v>
      </c>
      <c r="O274" t="s">
        <v>1653</v>
      </c>
      <c r="P274" t="s">
        <v>1652</v>
      </c>
    </row>
    <row r="275" spans="1:28" ht="18.75" x14ac:dyDescent="0.25">
      <c r="A275" s="6">
        <f t="shared" si="6"/>
        <v>0.73076923076923084</v>
      </c>
      <c r="B275" s="7" t="str">
        <f t="array" aca="1" ref="B275" ca="1">OFFSET(C275,,MATCH(TRUE,C275:AJ275&lt;&gt;"",0)-1)</f>
        <v xml:space="preserve"> Identificación de los puntos de lubricación</v>
      </c>
      <c r="C275" t="s">
        <v>969</v>
      </c>
      <c r="D275" s="1" t="s">
        <v>969</v>
      </c>
      <c r="E275" t="s">
        <v>969</v>
      </c>
      <c r="I275" t="s">
        <v>969</v>
      </c>
      <c r="J275" t="s">
        <v>969</v>
      </c>
      <c r="K275" t="s">
        <v>1342</v>
      </c>
      <c r="L275" t="s">
        <v>1342</v>
      </c>
      <c r="N275" t="s">
        <v>1653</v>
      </c>
      <c r="O275" t="s">
        <v>1683</v>
      </c>
      <c r="P275" t="s">
        <v>1653</v>
      </c>
      <c r="Q275" t="s">
        <v>1653</v>
      </c>
      <c r="R275" t="s">
        <v>1653</v>
      </c>
      <c r="S275" t="s">
        <v>1653</v>
      </c>
      <c r="T275" t="s">
        <v>1653</v>
      </c>
      <c r="U275" t="s">
        <v>1653</v>
      </c>
      <c r="V275" t="s">
        <v>1653</v>
      </c>
      <c r="W275" t="s">
        <v>1653</v>
      </c>
      <c r="X275" t="s">
        <v>1653</v>
      </c>
      <c r="AA275" t="s">
        <v>1653</v>
      </c>
    </row>
    <row r="276" spans="1:28" ht="18.75" x14ac:dyDescent="0.25">
      <c r="A276" s="6">
        <f t="shared" si="6"/>
        <v>0.69230769230769229</v>
      </c>
      <c r="B276" s="7" t="str">
        <f t="array" aca="1" ref="B276" ca="1">OFFSET(C276,,MATCH(TRUE,C276:AJ276&lt;&gt;"",0)-1)</f>
        <v xml:space="preserve"> Indicaciones sobre la identificación de los lubricantes</v>
      </c>
      <c r="D276" t="s">
        <v>1081</v>
      </c>
      <c r="E276" t="s">
        <v>1081</v>
      </c>
      <c r="F276" t="s">
        <v>1081</v>
      </c>
      <c r="G276" t="s">
        <v>1148</v>
      </c>
      <c r="I276" t="s">
        <v>1148</v>
      </c>
      <c r="J276" t="s">
        <v>1148</v>
      </c>
      <c r="K276" s="1" t="s">
        <v>1343</v>
      </c>
      <c r="L276" t="s">
        <v>1343</v>
      </c>
      <c r="M276" t="s">
        <v>1343</v>
      </c>
      <c r="Q276" t="s">
        <v>1683</v>
      </c>
      <c r="R276" t="s">
        <v>1683</v>
      </c>
      <c r="S276" t="s">
        <v>1683</v>
      </c>
      <c r="T276" t="s">
        <v>1683</v>
      </c>
      <c r="W276" t="s">
        <v>1683</v>
      </c>
      <c r="X276" t="s">
        <v>1683</v>
      </c>
      <c r="Z276" t="s">
        <v>1683</v>
      </c>
      <c r="AA276" t="s">
        <v>1683</v>
      </c>
      <c r="AB276" t="s">
        <v>1683</v>
      </c>
    </row>
    <row r="277" spans="1:28" ht="18.75" x14ac:dyDescent="0.25">
      <c r="A277" s="6">
        <f t="shared" si="6"/>
        <v>0.5</v>
      </c>
      <c r="B277" s="7" t="str">
        <f t="array" aca="1" ref="B277" ca="1">OFFSET(C277,,MATCH(TRUE,C277:AJ277&lt;&gt;"",0)-1)</f>
        <v xml:space="preserve"> Certificación de los lubricantes</v>
      </c>
      <c r="D277" t="s">
        <v>1082</v>
      </c>
      <c r="E277" t="s">
        <v>1082</v>
      </c>
      <c r="F277" t="s">
        <v>1082</v>
      </c>
      <c r="G277" t="s">
        <v>1082</v>
      </c>
      <c r="I277" t="s">
        <v>1082</v>
      </c>
      <c r="J277" t="s">
        <v>1082</v>
      </c>
      <c r="L277" t="s">
        <v>1368</v>
      </c>
      <c r="Q277" t="s">
        <v>1713</v>
      </c>
      <c r="W277" t="s">
        <v>1713</v>
      </c>
      <c r="X277" t="s">
        <v>1713</v>
      </c>
      <c r="Z277" t="s">
        <v>1713</v>
      </c>
      <c r="AA277" t="s">
        <v>1713</v>
      </c>
      <c r="AB277" t="s">
        <v>1713</v>
      </c>
    </row>
    <row r="278" spans="1:28" ht="18.75" x14ac:dyDescent="0.25">
      <c r="A278" s="6">
        <f t="shared" si="6"/>
        <v>0.53846153846153844</v>
      </c>
      <c r="B278" s="7" t="str">
        <f t="array" aca="1" ref="B278" ca="1">OFFSET(C278,,MATCH(TRUE,C278:AJ278&lt;&gt;"",0)-1)</f>
        <v xml:space="preserve"> Identificación de los dispositivos para separar de las fuentes de energía y asegurar</v>
      </c>
      <c r="C278" t="s">
        <v>970</v>
      </c>
      <c r="D278" t="s">
        <v>1083</v>
      </c>
      <c r="E278" t="s">
        <v>1083</v>
      </c>
      <c r="K278" t="s">
        <v>1344</v>
      </c>
      <c r="N278" t="s">
        <v>1654</v>
      </c>
      <c r="O278" t="s">
        <v>1654</v>
      </c>
      <c r="P278" t="s">
        <v>1654</v>
      </c>
      <c r="R278" t="s">
        <v>1654</v>
      </c>
      <c r="S278" t="s">
        <v>1654</v>
      </c>
      <c r="T278" t="s">
        <v>1654</v>
      </c>
      <c r="U278" s="1" t="s">
        <v>1654</v>
      </c>
      <c r="V278" s="1" t="s">
        <v>1654</v>
      </c>
      <c r="W278" t="s">
        <v>1654</v>
      </c>
      <c r="X278" t="s">
        <v>1731</v>
      </c>
    </row>
    <row r="279" spans="1:28" ht="18.75" x14ac:dyDescent="0.25">
      <c r="A279" s="6">
        <f t="shared" si="6"/>
        <v>0.80769230769230771</v>
      </c>
      <c r="B279" s="7" t="str">
        <f t="array" aca="1" ref="B279" ca="1">OFFSET(C279,,MATCH(TRUE,C279:AJ279&lt;&gt;"",0)-1)</f>
        <v xml:space="preserve"> Valores límite para la limpieza de superficies</v>
      </c>
      <c r="D279" t="s">
        <v>1084</v>
      </c>
      <c r="E279" t="s">
        <v>1084</v>
      </c>
      <c r="F279" t="s">
        <v>1084</v>
      </c>
      <c r="G279" t="s">
        <v>1084</v>
      </c>
      <c r="I279" t="s">
        <v>1084</v>
      </c>
      <c r="J279" t="s">
        <v>1084</v>
      </c>
      <c r="K279" t="s">
        <v>1345</v>
      </c>
      <c r="L279" t="s">
        <v>1345</v>
      </c>
      <c r="M279" t="s">
        <v>1456</v>
      </c>
      <c r="O279" t="s">
        <v>1684</v>
      </c>
      <c r="Q279" t="s">
        <v>1684</v>
      </c>
      <c r="R279" t="s">
        <v>1684</v>
      </c>
      <c r="S279" t="s">
        <v>1684</v>
      </c>
      <c r="T279" t="s">
        <v>1684</v>
      </c>
      <c r="U279" t="s">
        <v>1684</v>
      </c>
      <c r="V279" t="s">
        <v>1684</v>
      </c>
      <c r="W279" s="1" t="s">
        <v>1684</v>
      </c>
      <c r="X279" t="s">
        <v>1684</v>
      </c>
      <c r="Z279" t="s">
        <v>1684</v>
      </c>
      <c r="AA279" t="s">
        <v>1684</v>
      </c>
      <c r="AB279" t="s">
        <v>1684</v>
      </c>
    </row>
    <row r="280" spans="1:28" ht="18.75" x14ac:dyDescent="0.25">
      <c r="A280" s="6">
        <f t="shared" si="6"/>
        <v>0.61538461538461542</v>
      </c>
      <c r="B280" s="7" t="str">
        <f t="array" aca="1" ref="B280" ca="1">OFFSET(C280,,MATCH(TRUE,C280:AJ280&lt;&gt;"",0)-1)</f>
        <v xml:space="preserve"> Certificados</v>
      </c>
      <c r="D280" t="s">
        <v>1085</v>
      </c>
      <c r="E280" t="s">
        <v>1085</v>
      </c>
      <c r="F280" t="s">
        <v>1085</v>
      </c>
      <c r="G280" t="s">
        <v>1085</v>
      </c>
      <c r="H280" t="s">
        <v>1085</v>
      </c>
      <c r="I280" t="s">
        <v>1085</v>
      </c>
      <c r="J280" t="s">
        <v>1085</v>
      </c>
      <c r="L280" t="s">
        <v>1085</v>
      </c>
      <c r="Q280" t="s">
        <v>1714</v>
      </c>
      <c r="R280" t="s">
        <v>1714</v>
      </c>
      <c r="V280" t="s">
        <v>1714</v>
      </c>
      <c r="W280" t="s">
        <v>1714</v>
      </c>
      <c r="X280" t="s">
        <v>1714</v>
      </c>
      <c r="Z280" t="s">
        <v>1714</v>
      </c>
      <c r="AA280" t="s">
        <v>1714</v>
      </c>
      <c r="AB280" t="s">
        <v>1714</v>
      </c>
    </row>
    <row r="281" spans="1:28" ht="18.75" x14ac:dyDescent="0.25">
      <c r="A281" s="6">
        <f t="shared" si="6"/>
        <v>0.26923076923076927</v>
      </c>
      <c r="B281" s="7" t="str">
        <f t="array" aca="1" ref="B281" ca="1">OFFSET(C281,,MATCH(TRUE,C281:AJ281&lt;&gt;"",0)-1)</f>
        <v xml:space="preserve"> Declaración de conformidad CE</v>
      </c>
      <c r="D281" t="s">
        <v>1086</v>
      </c>
      <c r="E281" t="s">
        <v>1086</v>
      </c>
      <c r="F281" t="s">
        <v>1086</v>
      </c>
      <c r="L281" t="s">
        <v>1369</v>
      </c>
      <c r="R281" t="s">
        <v>1717</v>
      </c>
      <c r="Z281" t="s">
        <v>1717</v>
      </c>
      <c r="AA281" t="s">
        <v>1717</v>
      </c>
    </row>
    <row r="282" spans="1:28" ht="18.75" x14ac:dyDescent="0.25">
      <c r="A282" s="6">
        <f t="shared" si="6"/>
        <v>0.57692307692307687</v>
      </c>
      <c r="B282" s="7" t="str">
        <f t="array" aca="1" ref="B282" ca="1">OFFSET(C282,,MATCH(TRUE,C282:AJ282&lt;&gt;"",0)-1)</f>
        <v xml:space="preserve"> Trabajo con eficiencia energética</v>
      </c>
      <c r="D282" t="s">
        <v>1018</v>
      </c>
      <c r="E282" t="s">
        <v>1018</v>
      </c>
      <c r="F282" t="s">
        <v>1018</v>
      </c>
      <c r="G282" t="s">
        <v>874</v>
      </c>
      <c r="H282" t="s">
        <v>874</v>
      </c>
      <c r="I282" t="s">
        <v>874</v>
      </c>
      <c r="J282" t="s">
        <v>874</v>
      </c>
      <c r="L282" t="s">
        <v>1253</v>
      </c>
      <c r="Q282" t="s">
        <v>1558</v>
      </c>
      <c r="V282" t="s">
        <v>1558</v>
      </c>
      <c r="W282" t="s">
        <v>1558</v>
      </c>
      <c r="X282" t="s">
        <v>1558</v>
      </c>
      <c r="Z282" t="s">
        <v>1558</v>
      </c>
      <c r="AA282" t="s">
        <v>1558</v>
      </c>
      <c r="AB282" t="s">
        <v>1558</v>
      </c>
    </row>
    <row r="283" spans="1:28" ht="18.75" x14ac:dyDescent="0.25">
      <c r="A283" s="6">
        <f t="shared" si="6"/>
        <v>0.11538461538461542</v>
      </c>
      <c r="B283" s="7" t="str">
        <f t="array" aca="1" ref="B283" ca="1">OFFSET(C283,,MATCH(TRUE,C283:AJ283&lt;&gt;"",0)-1)</f>
        <v xml:space="preserve"> Productos de limpieza</v>
      </c>
      <c r="C283" t="s">
        <v>971</v>
      </c>
      <c r="N283" t="s">
        <v>1655</v>
      </c>
      <c r="P283" t="s">
        <v>1655</v>
      </c>
    </row>
    <row r="284" spans="1:28" ht="18.75" x14ac:dyDescent="0.25">
      <c r="A284" s="6">
        <f t="shared" si="6"/>
        <v>0.96153846153846156</v>
      </c>
      <c r="B284" s="7" t="str">
        <f t="array" aca="1" ref="B284" ca="1">OFFSET(C284,,MATCH(TRUE,C284:AJ284&lt;&gt;"",0)-1)</f>
        <v xml:space="preserve"> Apéndice</v>
      </c>
      <c r="C284" t="s">
        <v>972</v>
      </c>
      <c r="D284" t="s">
        <v>972</v>
      </c>
      <c r="E284" t="s">
        <v>972</v>
      </c>
      <c r="F284" t="s">
        <v>972</v>
      </c>
      <c r="G284" t="s">
        <v>972</v>
      </c>
      <c r="H284" t="s">
        <v>972</v>
      </c>
      <c r="I284" t="s">
        <v>972</v>
      </c>
      <c r="J284" t="s">
        <v>972</v>
      </c>
      <c r="K284" t="s">
        <v>1346</v>
      </c>
      <c r="L284" t="s">
        <v>1346</v>
      </c>
      <c r="N284" t="s">
        <v>1656</v>
      </c>
      <c r="O284" t="s">
        <v>1656</v>
      </c>
      <c r="P284" t="s">
        <v>1656</v>
      </c>
      <c r="Q284" t="s">
        <v>1656</v>
      </c>
      <c r="R284" s="1" t="s">
        <v>1656</v>
      </c>
      <c r="S284" t="s">
        <v>1656</v>
      </c>
      <c r="T284" t="s">
        <v>1656</v>
      </c>
      <c r="U284" t="s">
        <v>1656</v>
      </c>
      <c r="V284" t="s">
        <v>1656</v>
      </c>
      <c r="W284" t="s">
        <v>1656</v>
      </c>
      <c r="X284" t="s">
        <v>1656</v>
      </c>
      <c r="Y284" t="s">
        <v>1656</v>
      </c>
      <c r="Z284" t="s">
        <v>1656</v>
      </c>
      <c r="AA284" t="s">
        <v>1656</v>
      </c>
      <c r="AB284" t="s">
        <v>1656</v>
      </c>
    </row>
  </sheetData>
  <mergeCells count="1">
    <mergeCell ref="A2:A4"/>
  </mergeCells>
  <conditionalFormatting sqref="A6:A284">
    <cfRule type="colorScale" priority="24">
      <colorScale>
        <cfvo type="num" val="0"/>
        <cfvo type="percentile" val="1"/>
        <cfvo type="max"/>
        <color theme="0"/>
        <color rgb="FFFF5050"/>
        <color rgb="FF92D050"/>
      </colorScale>
    </cfRule>
  </conditionalFormatting>
  <hyperlinks>
    <hyperlink ref="D5" r:id="rId1" xr:uid="{4C7CA1B3-4B00-42F7-BCF4-BAEF6FC81D18}"/>
    <hyperlink ref="E5" r:id="rId2" xr:uid="{5DB3F670-35EF-40DC-98CE-A3B6C0DE664F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95EA7-06A0-4FC9-A9D8-5854BA4A4FBA}">
  <dimension ref="A5:J228"/>
  <sheetViews>
    <sheetView topLeftCell="A151" zoomScale="70" zoomScaleNormal="70" workbookViewId="0">
      <selection activeCell="J194" sqref="J5:J194"/>
    </sheetView>
  </sheetViews>
  <sheetFormatPr defaultRowHeight="15" x14ac:dyDescent="0.25"/>
  <cols>
    <col min="1" max="1" width="64.42578125" bestFit="1" customWidth="1"/>
  </cols>
  <sheetData>
    <row r="5" spans="1:10" x14ac:dyDescent="0.25">
      <c r="A5" t="s">
        <v>1457</v>
      </c>
      <c r="G5">
        <f>FIND(" ",A5,1)</f>
        <v>2</v>
      </c>
      <c r="H5">
        <f>FIND("...",A5)</f>
        <v>22</v>
      </c>
      <c r="J5" t="str">
        <f>MID(A5,FIND(" ",A5),FIND(".",A5,8)-FIND(" ",A5))</f>
        <v xml:space="preserve"> General information</v>
      </c>
    </row>
    <row r="6" spans="1:10" x14ac:dyDescent="0.25">
      <c r="A6" t="s">
        <v>1458</v>
      </c>
      <c r="J6" t="str">
        <f t="shared" ref="J6:J69" si="0">MID(A6,FIND(" ",A6),FIND(".",A6,8)-FIND(" ",A6))</f>
        <v xml:space="preserve"> Target Group</v>
      </c>
    </row>
    <row r="7" spans="1:10" x14ac:dyDescent="0.25">
      <c r="A7" t="s">
        <v>1459</v>
      </c>
      <c r="J7" t="str">
        <f t="shared" si="0"/>
        <v xml:space="preserve"> Notes on technical documentation</v>
      </c>
    </row>
    <row r="8" spans="1:10" x14ac:dyDescent="0.25">
      <c r="A8" t="s">
        <v>1460</v>
      </c>
      <c r="J8" t="str">
        <f t="shared" si="0"/>
        <v xml:space="preserve"> Machine assignment</v>
      </c>
    </row>
    <row r="9" spans="1:10" x14ac:dyDescent="0.25">
      <c r="A9" t="s">
        <v>1461</v>
      </c>
      <c r="J9" t="str">
        <f t="shared" si="0"/>
        <v xml:space="preserve"> Customer Service</v>
      </c>
    </row>
    <row r="10" spans="1:10" x14ac:dyDescent="0.25">
      <c r="A10" t="s">
        <v>1462</v>
      </c>
      <c r="J10" t="str">
        <f t="shared" si="0"/>
        <v xml:space="preserve"> Copyright</v>
      </c>
    </row>
    <row r="11" spans="1:10" x14ac:dyDescent="0.25">
      <c r="A11" t="s">
        <v>1463</v>
      </c>
      <c r="J11" t="str">
        <f t="shared" si="0"/>
        <v xml:space="preserve"> Notes on reading this manual</v>
      </c>
    </row>
    <row r="12" spans="1:10" x14ac:dyDescent="0.25">
      <c r="A12" t="s">
        <v>1660</v>
      </c>
      <c r="J12" t="str">
        <f t="shared" si="0"/>
        <v xml:space="preserve"> Safety information</v>
      </c>
    </row>
    <row r="13" spans="1:10" x14ac:dyDescent="0.25">
      <c r="A13" t="s">
        <v>1464</v>
      </c>
      <c r="J13" t="str">
        <f t="shared" si="0"/>
        <v xml:space="preserve"> Purpose of safety information</v>
      </c>
    </row>
    <row r="14" spans="1:10" x14ac:dyDescent="0.25">
      <c r="A14" t="s">
        <v>1465</v>
      </c>
      <c r="J14" t="str">
        <f t="shared" si="0"/>
        <v xml:space="preserve"> Intended use</v>
      </c>
    </row>
    <row r="15" spans="1:10" x14ac:dyDescent="0.25">
      <c r="A15" t="s">
        <v>1466</v>
      </c>
      <c r="J15" t="str">
        <f t="shared" si="0"/>
        <v xml:space="preserve"> Reasonably foreseeable misuse</v>
      </c>
    </row>
    <row r="16" spans="1:10" x14ac:dyDescent="0.25">
      <c r="A16" t="s">
        <v>1467</v>
      </c>
      <c r="J16" t="str">
        <f t="shared" si="0"/>
        <v xml:space="preserve"> Obligations of the operator</v>
      </c>
    </row>
    <row r="17" spans="1:10" x14ac:dyDescent="0.25">
      <c r="A17" t="s">
        <v>1468</v>
      </c>
      <c r="J17" t="str">
        <f t="shared" si="0"/>
        <v xml:space="preserve"> Personnel requirements</v>
      </c>
    </row>
    <row r="18" spans="1:10" x14ac:dyDescent="0.25">
      <c r="A18" t="s">
        <v>1469</v>
      </c>
      <c r="J18" t="str">
        <f t="shared" si="0"/>
        <v xml:space="preserve"> Protective equipment</v>
      </c>
    </row>
    <row r="19" spans="1:10" x14ac:dyDescent="0.25">
      <c r="A19" t="s">
        <v>1470</v>
      </c>
      <c r="J19" t="str">
        <f t="shared" si="0"/>
        <v xml:space="preserve"> Hazardous areas and identification of these areas</v>
      </c>
    </row>
    <row r="20" spans="1:10" x14ac:dyDescent="0.25">
      <c r="A20" t="s">
        <v>1471</v>
      </c>
      <c r="J20" t="str">
        <f t="shared" si="0"/>
        <v xml:space="preserve"> Prohibitory signs</v>
      </c>
    </row>
    <row r="21" spans="1:10" x14ac:dyDescent="0.25">
      <c r="A21" t="s">
        <v>1472</v>
      </c>
      <c r="J21" t="str">
        <f t="shared" si="0"/>
        <v xml:space="preserve"> Warning signs</v>
      </c>
    </row>
    <row r="22" spans="1:10" x14ac:dyDescent="0.25">
      <c r="A22" t="s">
        <v>1728</v>
      </c>
      <c r="J22" t="str">
        <f t="shared" si="0"/>
        <v xml:space="preserve"> Mandatory action signs</v>
      </c>
    </row>
    <row r="23" spans="1:10" x14ac:dyDescent="0.25">
      <c r="A23" t="s">
        <v>1473</v>
      </c>
      <c r="J23" t="str">
        <f t="shared" si="0"/>
        <v xml:space="preserve"> Mounting location of signs</v>
      </c>
    </row>
    <row r="24" spans="1:10" x14ac:dyDescent="0.25">
      <c r="A24" t="s">
        <v>1474</v>
      </c>
      <c r="J24" t="str">
        <f t="shared" si="0"/>
        <v xml:space="preserve"> Safety equipment</v>
      </c>
    </row>
    <row r="25" spans="1:10" x14ac:dyDescent="0.25">
      <c r="A25" t="s">
        <v>1475</v>
      </c>
      <c r="J25" t="str">
        <f t="shared" si="0"/>
        <v xml:space="preserve"> Machine paneling</v>
      </c>
    </row>
    <row r="26" spans="1:10" x14ac:dyDescent="0.25">
      <c r="A26" t="s">
        <v>1476</v>
      </c>
      <c r="J26" t="str">
        <f t="shared" si="0"/>
        <v xml:space="preserve"> Door switch with locking mechanism</v>
      </c>
    </row>
    <row r="27" spans="1:10" x14ac:dyDescent="0.25">
      <c r="A27" t="s">
        <v>1699</v>
      </c>
      <c r="J27" t="str">
        <f t="shared" si="0"/>
        <v xml:space="preserve"> Emergency stop switch</v>
      </c>
    </row>
    <row r="28" spans="1:10" x14ac:dyDescent="0.25">
      <c r="A28" t="s">
        <v>1700</v>
      </c>
      <c r="J28" t="str">
        <f t="shared" si="0"/>
        <v xml:space="preserve"> Relief valve</v>
      </c>
    </row>
    <row r="29" spans="1:10" x14ac:dyDescent="0.25">
      <c r="A29" t="s">
        <v>1768</v>
      </c>
      <c r="J29" t="str">
        <f t="shared" si="0"/>
        <v xml:space="preserve"> Stop fixture for fall guard</v>
      </c>
    </row>
    <row r="30" spans="1:10" x14ac:dyDescent="0.25">
      <c r="A30" t="s">
        <v>1701</v>
      </c>
      <c r="J30" t="str">
        <f t="shared" si="0"/>
        <v xml:space="preserve"> Escape unlock</v>
      </c>
    </row>
    <row r="31" spans="1:10" x14ac:dyDescent="0.25">
      <c r="A31" t="s">
        <v>1477</v>
      </c>
      <c r="J31" t="str">
        <f t="shared" si="0"/>
        <v xml:space="preserve"> Installation location of safety equipment</v>
      </c>
    </row>
    <row r="32" spans="1:10" x14ac:dyDescent="0.25">
      <c r="A32" t="s">
        <v>1661</v>
      </c>
      <c r="J32" t="str">
        <f t="shared" si="0"/>
        <v xml:space="preserve"> Equipment for disconnecting and securing</v>
      </c>
    </row>
    <row r="33" spans="1:10" x14ac:dyDescent="0.25">
      <c r="A33" t="s">
        <v>1478</v>
      </c>
      <c r="J33" t="str">
        <f t="shared" si="0"/>
        <v xml:space="preserve"> Conduct in hazardous situations and in the event of an accident</v>
      </c>
    </row>
    <row r="34" spans="1:10" x14ac:dyDescent="0.25">
      <c r="A34" t="s">
        <v>1479</v>
      </c>
      <c r="J34" t="str">
        <f t="shared" si="0"/>
        <v xml:space="preserve"> Operating statuses and operating modes</v>
      </c>
    </row>
    <row r="35" spans="1:10" x14ac:dyDescent="0.25">
      <c r="A35" t="s">
        <v>1480</v>
      </c>
      <c r="J35" t="str">
        <f t="shared" si="0"/>
        <v xml:space="preserve"> Deenergized machine</v>
      </c>
    </row>
    <row r="36" spans="1:10" x14ac:dyDescent="0.25">
      <c r="A36" t="s">
        <v>1481</v>
      </c>
      <c r="J36" t="str">
        <f t="shared" si="0"/>
        <v xml:space="preserve"> Operating status OFF</v>
      </c>
    </row>
    <row r="37" spans="1:10" x14ac:dyDescent="0.25">
      <c r="A37" t="s">
        <v>1482</v>
      </c>
      <c r="J37" t="str">
        <f t="shared" si="0"/>
        <v xml:space="preserve"> Operating status ON</v>
      </c>
    </row>
    <row r="38" spans="1:10" x14ac:dyDescent="0.25">
      <c r="A38" t="s">
        <v>1483</v>
      </c>
      <c r="J38" t="str">
        <f t="shared" si="0"/>
        <v xml:space="preserve"> Pressure tanks and pipelines</v>
      </c>
    </row>
    <row r="39" spans="1:10" x14ac:dyDescent="0.25">
      <c r="A39" t="s">
        <v>1662</v>
      </c>
      <c r="J39" t="str">
        <f t="shared" si="0"/>
        <v xml:space="preserve"> Residual risks</v>
      </c>
    </row>
    <row r="40" spans="1:10" x14ac:dyDescent="0.25">
      <c r="A40" t="s">
        <v>1484</v>
      </c>
      <c r="J40" t="str">
        <f t="shared" si="0"/>
        <v xml:space="preserve"> Layout and function</v>
      </c>
    </row>
    <row r="41" spans="1:10" x14ac:dyDescent="0.25">
      <c r="A41" t="s">
        <v>1485</v>
      </c>
      <c r="J41" t="str">
        <f t="shared" si="0"/>
        <v xml:space="preserve"> Glass bottle filling machine and capper</v>
      </c>
    </row>
    <row r="42" spans="1:10" x14ac:dyDescent="0.25">
      <c r="A42" t="s">
        <v>1769</v>
      </c>
      <c r="J42" t="str">
        <f t="shared" si="0"/>
        <v xml:space="preserve"> Cleanroom</v>
      </c>
    </row>
    <row r="43" spans="1:10" x14ac:dyDescent="0.25">
      <c r="A43" t="s">
        <v>1770</v>
      </c>
      <c r="J43" t="str">
        <f t="shared" si="0"/>
        <v xml:space="preserve"> Bottle flow</v>
      </c>
    </row>
    <row r="44" spans="1:10" x14ac:dyDescent="0.25">
      <c r="A44" t="s">
        <v>1771</v>
      </c>
      <c r="J44" t="str">
        <f t="shared" si="0"/>
        <v xml:space="preserve"> Bottle conveyor</v>
      </c>
    </row>
    <row r="45" spans="1:10" x14ac:dyDescent="0.25">
      <c r="A45" t="s">
        <v>1772</v>
      </c>
      <c r="J45" t="str">
        <f t="shared" si="0"/>
        <v xml:space="preserve"> Synchronization</v>
      </c>
    </row>
    <row r="46" spans="1:10" x14ac:dyDescent="0.25">
      <c r="A46" t="s">
        <v>1773</v>
      </c>
      <c r="J46" t="str">
        <f t="shared" si="0"/>
        <v xml:space="preserve"> Valve manifold</v>
      </c>
    </row>
    <row r="47" spans="1:10" x14ac:dyDescent="0.25">
      <c r="A47" t="s">
        <v>1774</v>
      </c>
      <c r="J47" t="str">
        <f t="shared" si="0"/>
        <v xml:space="preserve"> Vacuum pump</v>
      </c>
    </row>
    <row r="48" spans="1:10" x14ac:dyDescent="0.25">
      <c r="A48" t="s">
        <v>1702</v>
      </c>
      <c r="J48" t="str">
        <f t="shared" si="0"/>
        <v xml:space="preserve"> Filler base</v>
      </c>
    </row>
    <row r="49" spans="1:10" x14ac:dyDescent="0.25">
      <c r="A49" t="s">
        <v>1775</v>
      </c>
      <c r="J49" t="str">
        <f t="shared" si="0"/>
        <v xml:space="preserve"> Filler turret</v>
      </c>
    </row>
    <row r="50" spans="1:10" x14ac:dyDescent="0.25">
      <c r="A50" t="s">
        <v>1776</v>
      </c>
      <c r="J50" t="str">
        <f t="shared" si="0"/>
        <v xml:space="preserve"> Filling valve and machine control system</v>
      </c>
    </row>
    <row r="51" spans="1:10" x14ac:dyDescent="0.25">
      <c r="A51" t="s">
        <v>1777</v>
      </c>
      <c r="J51" t="str">
        <f t="shared" si="0"/>
        <v xml:space="preserve"> Broken glass removal</v>
      </c>
    </row>
    <row r="52" spans="1:10" x14ac:dyDescent="0.25">
      <c r="A52" t="s">
        <v>1778</v>
      </c>
      <c r="J52" t="str">
        <f t="shared" si="0"/>
        <v xml:space="preserve"> High-pressure injection system</v>
      </c>
    </row>
    <row r="53" spans="1:10" x14ac:dyDescent="0.25">
      <c r="A53" t="s">
        <v>1779</v>
      </c>
      <c r="J53" t="str">
        <f t="shared" si="0"/>
        <v xml:space="preserve"> Crown corker</v>
      </c>
    </row>
    <row r="54" spans="1:10" x14ac:dyDescent="0.25">
      <c r="A54" t="s">
        <v>1780</v>
      </c>
      <c r="J54" t="str">
        <f t="shared" si="0"/>
        <v xml:space="preserve"> Water flushoff</v>
      </c>
    </row>
    <row r="55" spans="1:10" x14ac:dyDescent="0.25">
      <c r="A55" t="s">
        <v>1781</v>
      </c>
      <c r="J55" t="str">
        <f t="shared" si="0"/>
        <v xml:space="preserve"> Bottle shower</v>
      </c>
    </row>
    <row r="56" spans="1:10" x14ac:dyDescent="0.25">
      <c r="A56" t="s">
        <v>1782</v>
      </c>
      <c r="J56" t="str">
        <f t="shared" si="0"/>
        <v xml:space="preserve"> Workstations and operating controls</v>
      </c>
    </row>
    <row r="57" spans="1:10" x14ac:dyDescent="0.25">
      <c r="A57" t="s">
        <v>1783</v>
      </c>
      <c r="J57" t="str">
        <f t="shared" si="0"/>
        <v xml:space="preserve"> Signaling equipment</v>
      </c>
    </row>
    <row r="58" spans="1:10" x14ac:dyDescent="0.25">
      <c r="A58" t="s">
        <v>1784</v>
      </c>
      <c r="J58" t="str">
        <f t="shared" si="0"/>
        <v xml:space="preserve"> Measuring, control and regulating equipment</v>
      </c>
    </row>
    <row r="59" spans="1:10" x14ac:dyDescent="0.25">
      <c r="A59" t="s">
        <v>1785</v>
      </c>
      <c r="J59" t="str">
        <f t="shared" si="0"/>
        <v xml:space="preserve"> Switch cabinet</v>
      </c>
    </row>
    <row r="60" spans="1:10" x14ac:dyDescent="0.25">
      <c r="A60" t="s">
        <v>1786</v>
      </c>
      <c r="J60" t="str">
        <f t="shared" si="0"/>
        <v xml:space="preserve"> Measuring technology</v>
      </c>
    </row>
    <row r="61" spans="1:10" x14ac:dyDescent="0.25">
      <c r="A61" t="s">
        <v>1787</v>
      </c>
      <c r="J61" t="str">
        <f t="shared" si="0"/>
        <v xml:space="preserve"> Control technology</v>
      </c>
    </row>
    <row r="62" spans="1:10" x14ac:dyDescent="0.25">
      <c r="A62" t="s">
        <v>1788</v>
      </c>
      <c r="J62" t="str">
        <f t="shared" si="0"/>
        <v xml:space="preserve"> Regulating equipment</v>
      </c>
    </row>
    <row r="63" spans="1:10" x14ac:dyDescent="0.25">
      <c r="A63" t="s">
        <v>1789</v>
      </c>
      <c r="J63" t="str">
        <f t="shared" si="0"/>
        <v xml:space="preserve"> Pneumatics</v>
      </c>
    </row>
    <row r="64" spans="1:10" x14ac:dyDescent="0.25">
      <c r="A64" t="s">
        <v>1790</v>
      </c>
      <c r="J64" t="str">
        <f t="shared" si="0"/>
        <v xml:space="preserve"> Energy-efficient operation</v>
      </c>
    </row>
    <row r="65" spans="1:10" x14ac:dyDescent="0.25">
      <c r="A65" t="s">
        <v>1791</v>
      </c>
      <c r="J65" t="str">
        <f t="shared" si="0"/>
        <v xml:space="preserve"> Assembly</v>
      </c>
    </row>
    <row r="66" spans="1:10" x14ac:dyDescent="0.25">
      <c r="A66" t="s">
        <v>1792</v>
      </c>
      <c r="J66" t="str">
        <f t="shared" si="0"/>
        <v xml:space="preserve"> Check the items included in the delivery and inspect the shipment</v>
      </c>
    </row>
    <row r="67" spans="1:10" x14ac:dyDescent="0.25">
      <c r="A67" t="s">
        <v>1793</v>
      </c>
      <c r="J67" t="str">
        <f t="shared" si="0"/>
        <v xml:space="preserve"> Transportation</v>
      </c>
    </row>
    <row r="68" spans="1:10" x14ac:dyDescent="0.25">
      <c r="A68" t="s">
        <v>1794</v>
      </c>
      <c r="J68" t="str">
        <f t="shared" si="0"/>
        <v xml:space="preserve"> Installation</v>
      </c>
    </row>
    <row r="69" spans="1:10" x14ac:dyDescent="0.25">
      <c r="A69" t="s">
        <v>1795</v>
      </c>
      <c r="J69" t="str">
        <f t="shared" si="0"/>
        <v xml:space="preserve"> Connection</v>
      </c>
    </row>
    <row r="70" spans="1:10" x14ac:dyDescent="0.25">
      <c r="A70" t="s">
        <v>1796</v>
      </c>
      <c r="J70" t="str">
        <f t="shared" ref="J70:J133" si="1">MID(A70,FIND(" ",A70),FIND(".",A70,8)-FIND(" ",A70))</f>
        <v xml:space="preserve"> Commissioning</v>
      </c>
    </row>
    <row r="71" spans="1:10" x14ac:dyDescent="0.25">
      <c r="A71" t="s">
        <v>1797</v>
      </c>
      <c r="J71" t="str">
        <f t="shared" si="1"/>
        <v xml:space="preserve"> Decommissioning</v>
      </c>
    </row>
    <row r="72" spans="1:10" x14ac:dyDescent="0.25">
      <c r="A72" t="s">
        <v>1798</v>
      </c>
      <c r="J72" t="str">
        <f t="shared" si="1"/>
        <v xml:space="preserve"> Storage</v>
      </c>
    </row>
    <row r="73" spans="1:10" x14ac:dyDescent="0.25">
      <c r="A73" t="s">
        <v>1799</v>
      </c>
      <c r="J73" t="str">
        <f t="shared" si="1"/>
        <v xml:space="preserve"> Recommissioning</v>
      </c>
    </row>
    <row r="74" spans="1:10" x14ac:dyDescent="0.25">
      <c r="A74" t="s">
        <v>1800</v>
      </c>
      <c r="J74" t="str">
        <f t="shared" si="1"/>
        <v xml:space="preserve"> Disposal</v>
      </c>
    </row>
    <row r="75" spans="1:10" x14ac:dyDescent="0.25">
      <c r="A75" t="s">
        <v>1801</v>
      </c>
      <c r="J75" t="str">
        <f t="shared" si="1"/>
        <v xml:space="preserve"> Operation</v>
      </c>
    </row>
    <row r="76" spans="1:10" x14ac:dyDescent="0.25">
      <c r="A76" t="s">
        <v>1802</v>
      </c>
      <c r="J76" t="str">
        <f t="shared" si="1"/>
        <v xml:space="preserve"> Safety instructions</v>
      </c>
    </row>
    <row r="77" spans="1:10" x14ac:dyDescent="0.25">
      <c r="A77" t="s">
        <v>1803</v>
      </c>
      <c r="J77" t="str">
        <f t="shared" si="1"/>
        <v xml:space="preserve"> Safety equipment</v>
      </c>
    </row>
    <row r="78" spans="1:10" x14ac:dyDescent="0.25">
      <c r="A78" t="s">
        <v>1804</v>
      </c>
      <c r="J78" t="str">
        <f t="shared" si="1"/>
        <v xml:space="preserve"> Emergency stop</v>
      </c>
    </row>
    <row r="79" spans="1:10" x14ac:dyDescent="0.25">
      <c r="A79" t="s">
        <v>1805</v>
      </c>
      <c r="J79" t="str">
        <f t="shared" si="1"/>
        <v xml:space="preserve"> Entering the cleanroom</v>
      </c>
    </row>
    <row r="80" spans="1:10" x14ac:dyDescent="0.25">
      <c r="A80" t="s">
        <v>1806</v>
      </c>
      <c r="J80" t="str">
        <f t="shared" si="1"/>
        <v xml:space="preserve"> Opening and closing doors in the machine paneling</v>
      </c>
    </row>
    <row r="81" spans="1:10" x14ac:dyDescent="0.25">
      <c r="A81" t="s">
        <v>1807</v>
      </c>
      <c r="J81" t="str">
        <f t="shared" si="1"/>
        <v xml:space="preserve"> Signaling equipment</v>
      </c>
    </row>
    <row r="82" spans="1:10" x14ac:dyDescent="0.25">
      <c r="A82" t="s">
        <v>1808</v>
      </c>
      <c r="J82" t="str">
        <f t="shared" si="1"/>
        <v xml:space="preserve"> Signal lamp</v>
      </c>
    </row>
    <row r="83" spans="1:10" x14ac:dyDescent="0.25">
      <c r="A83" t="s">
        <v>1809</v>
      </c>
      <c r="J83" t="str">
        <f t="shared" si="1"/>
        <v xml:space="preserve"> Signal horn</v>
      </c>
    </row>
    <row r="84" spans="1:10" x14ac:dyDescent="0.25">
      <c r="A84" t="s">
        <v>1810</v>
      </c>
      <c r="J84" t="str">
        <f t="shared" si="1"/>
        <v xml:space="preserve"> Lift cylinder warning light</v>
      </c>
    </row>
    <row r="85" spans="1:10" x14ac:dyDescent="0.25">
      <c r="A85" t="s">
        <v>1811</v>
      </c>
      <c r="J85" t="str">
        <f t="shared" si="1"/>
        <v xml:space="preserve"> Operating controls</v>
      </c>
    </row>
    <row r="86" spans="1:10" x14ac:dyDescent="0.25">
      <c r="A86" t="s">
        <v>1812</v>
      </c>
      <c r="J86" t="str">
        <f t="shared" si="1"/>
        <v xml:space="preserve"> Operator console</v>
      </c>
    </row>
    <row r="87" spans="1:10" x14ac:dyDescent="0.25">
      <c r="A87" t="s">
        <v>1813</v>
      </c>
      <c r="J87" t="str">
        <f t="shared" si="1"/>
        <v xml:space="preserve"> Operator panels</v>
      </c>
    </row>
    <row r="88" spans="1:10" x14ac:dyDescent="0.25">
      <c r="A88" t="s">
        <v>1814</v>
      </c>
      <c r="J88" t="str">
        <f t="shared" si="1"/>
        <v xml:space="preserve"> Security key</v>
      </c>
    </row>
    <row r="89" spans="1:10" x14ac:dyDescent="0.25">
      <c r="A89" t="s">
        <v>1815</v>
      </c>
      <c r="J89" t="str">
        <f t="shared" si="1"/>
        <v xml:space="preserve"> Main switch</v>
      </c>
    </row>
    <row r="90" spans="1:10" x14ac:dyDescent="0.25">
      <c r="A90" t="s">
        <v>1733</v>
      </c>
      <c r="J90" t="str">
        <f t="shared" si="1"/>
        <v xml:space="preserve"> Jogging</v>
      </c>
    </row>
    <row r="91" spans="1:10" x14ac:dyDescent="0.25">
      <c r="A91" t="s">
        <v>1734</v>
      </c>
      <c r="J91" t="str">
        <f t="shared" si="1"/>
        <v xml:space="preserve"> Preparing for operation</v>
      </c>
    </row>
    <row r="92" spans="1:10" x14ac:dyDescent="0.25">
      <c r="A92" t="s">
        <v>1816</v>
      </c>
      <c r="J92" t="str">
        <f t="shared" si="1"/>
        <v xml:space="preserve"> Preparing the cleanroom</v>
      </c>
    </row>
    <row r="93" spans="1:10" x14ac:dyDescent="0.25">
      <c r="A93" t="s">
        <v>1817</v>
      </c>
      <c r="J93" t="str">
        <f t="shared" si="1"/>
        <v xml:space="preserve"> Production</v>
      </c>
    </row>
    <row r="94" spans="1:10" x14ac:dyDescent="0.25">
      <c r="A94" t="s">
        <v>1735</v>
      </c>
      <c r="J94" t="str">
        <f t="shared" si="1"/>
        <v xml:space="preserve"> Safety instructions</v>
      </c>
    </row>
    <row r="95" spans="1:10" x14ac:dyDescent="0.25">
      <c r="A95" t="s">
        <v>1818</v>
      </c>
      <c r="J95" t="str">
        <f t="shared" si="1"/>
        <v xml:space="preserve"> Requirements</v>
      </c>
    </row>
    <row r="96" spans="1:10" x14ac:dyDescent="0.25">
      <c r="A96" t="s">
        <v>1819</v>
      </c>
      <c r="J96" t="str">
        <f t="shared" si="1"/>
        <v xml:space="preserve"> Preparation</v>
      </c>
    </row>
    <row r="97" spans="1:10" x14ac:dyDescent="0.25">
      <c r="A97" t="s">
        <v>1820</v>
      </c>
      <c r="J97" t="str">
        <f t="shared" si="1"/>
        <v xml:space="preserve"> Starting production</v>
      </c>
    </row>
    <row r="98" spans="1:10" x14ac:dyDescent="0.25">
      <c r="A98" t="s">
        <v>1821</v>
      </c>
      <c r="J98" t="str">
        <f t="shared" si="1"/>
        <v xml:space="preserve"> Monitor</v>
      </c>
    </row>
    <row r="99" spans="1:10" x14ac:dyDescent="0.25">
      <c r="A99" t="s">
        <v>1822</v>
      </c>
      <c r="J99" t="str">
        <f t="shared" si="1"/>
        <v xml:space="preserve"> Taking a product sample</v>
      </c>
    </row>
    <row r="100" spans="1:10" x14ac:dyDescent="0.25">
      <c r="A100" t="s">
        <v>1823</v>
      </c>
      <c r="J100" t="str">
        <f t="shared" si="1"/>
        <v xml:space="preserve"> Interrupting production</v>
      </c>
    </row>
    <row r="101" spans="1:10" x14ac:dyDescent="0.25">
      <c r="A101" t="s">
        <v>1824</v>
      </c>
      <c r="J101" t="str">
        <f t="shared" si="1"/>
        <v xml:space="preserve"> Interim rinsing</v>
      </c>
    </row>
    <row r="102" spans="1:10" x14ac:dyDescent="0.25">
      <c r="A102" t="s">
        <v>1825</v>
      </c>
      <c r="J102" t="str">
        <f t="shared" si="1"/>
        <v xml:space="preserve"> Entering the cleanroom</v>
      </c>
    </row>
    <row r="103" spans="1:10" x14ac:dyDescent="0.25">
      <c r="A103" t="s">
        <v>1826</v>
      </c>
      <c r="J103" t="str">
        <f t="shared" si="1"/>
        <v xml:space="preserve"> Ending production</v>
      </c>
    </row>
    <row r="104" spans="1:10" x14ac:dyDescent="0.25">
      <c r="A104" t="s">
        <v>1736</v>
      </c>
      <c r="J104" t="str">
        <f t="shared" si="1"/>
        <v xml:space="preserve"> Cleaning</v>
      </c>
    </row>
    <row r="105" spans="1:10" x14ac:dyDescent="0.25">
      <c r="A105" t="s">
        <v>1827</v>
      </c>
      <c r="J105" t="str">
        <f t="shared" si="1"/>
        <v xml:space="preserve"> Safety instructions</v>
      </c>
    </row>
    <row r="106" spans="1:10" x14ac:dyDescent="0.25">
      <c r="A106" t="s">
        <v>1828</v>
      </c>
      <c r="J106" t="str">
        <f t="shared" si="1"/>
        <v xml:space="preserve"> Prerequisites</v>
      </c>
    </row>
    <row r="107" spans="1:10" x14ac:dyDescent="0.25">
      <c r="A107" t="s">
        <v>1829</v>
      </c>
      <c r="J107" t="str">
        <f t="shared" si="1"/>
        <v xml:space="preserve"> Preparation</v>
      </c>
    </row>
    <row r="108" spans="1:10" x14ac:dyDescent="0.25">
      <c r="A108" t="s">
        <v>1830</v>
      </c>
      <c r="J108" t="str">
        <f t="shared" si="1"/>
        <v xml:space="preserve"> Execution</v>
      </c>
    </row>
    <row r="109" spans="1:10" x14ac:dyDescent="0.25">
      <c r="A109" t="s">
        <v>1831</v>
      </c>
      <c r="J109" t="str">
        <f t="shared" si="1"/>
        <v xml:space="preserve"> Cleaning accessories</v>
      </c>
    </row>
    <row r="110" spans="1:10" x14ac:dyDescent="0.25">
      <c r="A110" t="s">
        <v>1832</v>
      </c>
      <c r="J110" t="str">
        <f t="shared" si="1"/>
        <v xml:space="preserve"> Cleaning the machine exterior</v>
      </c>
    </row>
    <row r="111" spans="1:10" x14ac:dyDescent="0.25">
      <c r="A111" t="s">
        <v>1737</v>
      </c>
      <c r="J111" t="str">
        <f t="shared" si="1"/>
        <v xml:space="preserve"> Setup</v>
      </c>
    </row>
    <row r="112" spans="1:10" x14ac:dyDescent="0.25">
      <c r="A112" t="s">
        <v>1833</v>
      </c>
      <c r="J112" t="str">
        <f t="shared" si="1"/>
        <v xml:space="preserve"> Safety instructions</v>
      </c>
    </row>
    <row r="113" spans="1:10" x14ac:dyDescent="0.25">
      <c r="A113" t="s">
        <v>1738</v>
      </c>
      <c r="J113" t="str">
        <f t="shared" si="1"/>
        <v xml:space="preserve"> Preparation</v>
      </c>
    </row>
    <row r="114" spans="1:10" x14ac:dyDescent="0.25">
      <c r="A114" t="s">
        <v>1834</v>
      </c>
      <c r="J114" t="str">
        <f t="shared" si="1"/>
        <v xml:space="preserve"> Running empty</v>
      </c>
    </row>
    <row r="115" spans="1:10" x14ac:dyDescent="0.25">
      <c r="A115" t="s">
        <v>1835</v>
      </c>
      <c r="J115" t="str">
        <f t="shared" si="1"/>
        <v xml:space="preserve"> Interim rinsing</v>
      </c>
    </row>
    <row r="116" spans="1:10" x14ac:dyDescent="0.25">
      <c r="A116" t="s">
        <v>1836</v>
      </c>
      <c r="J116" t="str">
        <f t="shared" si="1"/>
        <v xml:space="preserve"> Setting the cleaning height</v>
      </c>
    </row>
    <row r="117" spans="1:10" x14ac:dyDescent="0.25">
      <c r="A117" t="s">
        <v>1837</v>
      </c>
      <c r="J117" t="str">
        <f t="shared" si="1"/>
        <v xml:space="preserve"> Changing format parts</v>
      </c>
    </row>
    <row r="118" spans="1:10" x14ac:dyDescent="0.25">
      <c r="A118" t="s">
        <v>1838</v>
      </c>
      <c r="J118" t="str">
        <f t="shared" si="1"/>
        <v xml:space="preserve"> Filling valve</v>
      </c>
    </row>
    <row r="119" spans="1:10" x14ac:dyDescent="0.25">
      <c r="A119" t="s">
        <v>1839</v>
      </c>
      <c r="J119" t="str">
        <f t="shared" si="1"/>
        <v xml:space="preserve"> Crown corker</v>
      </c>
    </row>
    <row r="120" spans="1:10" x14ac:dyDescent="0.25">
      <c r="A120" t="s">
        <v>1840</v>
      </c>
      <c r="J120" t="str">
        <f t="shared" si="1"/>
        <v xml:space="preserve"> Bottle shower</v>
      </c>
    </row>
    <row r="121" spans="1:10" x14ac:dyDescent="0.25">
      <c r="A121" t="s">
        <v>1841</v>
      </c>
      <c r="J121" t="str">
        <f t="shared" si="1"/>
        <v xml:space="preserve"> CIP cleaning</v>
      </c>
    </row>
    <row r="122" spans="1:10" x14ac:dyDescent="0.25">
      <c r="A122" t="s">
        <v>1842</v>
      </c>
      <c r="J122" t="str">
        <f t="shared" si="1"/>
        <v xml:space="preserve"> Setting the production height</v>
      </c>
    </row>
    <row r="123" spans="1:10" x14ac:dyDescent="0.25">
      <c r="A123" t="s">
        <v>1843</v>
      </c>
      <c r="J123" t="str">
        <f t="shared" si="1"/>
        <v xml:space="preserve"> External cleaning</v>
      </c>
    </row>
    <row r="124" spans="1:10" x14ac:dyDescent="0.25">
      <c r="A124" t="s">
        <v>1844</v>
      </c>
      <c r="J124" t="str">
        <f t="shared" si="1"/>
        <v xml:space="preserve"> Starting production</v>
      </c>
    </row>
    <row r="125" spans="1:10" x14ac:dyDescent="0.25">
      <c r="A125" t="s">
        <v>1845</v>
      </c>
      <c r="J125" t="str">
        <f t="shared" si="1"/>
        <v xml:space="preserve"> Follow-up tasks</v>
      </c>
    </row>
    <row r="126" spans="1:10" x14ac:dyDescent="0.25">
      <c r="A126" t="s">
        <v>1846</v>
      </c>
      <c r="J126" t="str">
        <f t="shared" si="1"/>
        <v xml:space="preserve"> Taking the machine out of operation</v>
      </c>
    </row>
    <row r="127" spans="1:10" x14ac:dyDescent="0.25">
      <c r="A127" t="s">
        <v>1847</v>
      </c>
      <c r="J127" t="str">
        <f t="shared" si="1"/>
        <v xml:space="preserve"> Servicing</v>
      </c>
    </row>
    <row r="128" spans="1:10" x14ac:dyDescent="0.25">
      <c r="A128" t="s">
        <v>1848</v>
      </c>
      <c r="J128" t="str">
        <f t="shared" si="1"/>
        <v xml:space="preserve"> Safety instructions</v>
      </c>
    </row>
    <row r="129" spans="1:10" x14ac:dyDescent="0.25">
      <c r="A129" t="s">
        <v>1849</v>
      </c>
      <c r="J129" t="str">
        <f t="shared" si="1"/>
        <v xml:space="preserve"> Instructions on maintenance tasks</v>
      </c>
    </row>
    <row r="130" spans="1:10" x14ac:dyDescent="0.25">
      <c r="A130" t="s">
        <v>1850</v>
      </c>
      <c r="J130" t="str">
        <f t="shared" si="1"/>
        <v xml:space="preserve"> Adhering to regulations</v>
      </c>
    </row>
    <row r="131" spans="1:10" x14ac:dyDescent="0.25">
      <c r="A131" t="s">
        <v>1851</v>
      </c>
      <c r="J131" t="str">
        <f t="shared" si="1"/>
        <v xml:space="preserve"> Setup operating mode</v>
      </c>
    </row>
    <row r="132" spans="1:10" x14ac:dyDescent="0.25">
      <c r="A132" t="s">
        <v>1852</v>
      </c>
      <c r="J132" t="str">
        <f t="shared" si="1"/>
        <v xml:space="preserve"> Disconnecting and securing</v>
      </c>
    </row>
    <row r="133" spans="1:10" x14ac:dyDescent="0.25">
      <c r="A133" t="s">
        <v>1853</v>
      </c>
      <c r="J133" t="str">
        <f t="shared" si="1"/>
        <v xml:space="preserve"> Emptying the machine</v>
      </c>
    </row>
    <row r="134" spans="1:10" x14ac:dyDescent="0.25">
      <c r="A134" t="s">
        <v>1854</v>
      </c>
      <c r="J134" t="str">
        <f t="shared" ref="J134:J197" si="2">MID(A134,FIND(" ",A134),FIND(".",A134,8)-FIND(" ",A134))</f>
        <v xml:space="preserve"> Maintenance</v>
      </c>
    </row>
    <row r="135" spans="1:10" x14ac:dyDescent="0.25">
      <c r="A135" t="s">
        <v>1855</v>
      </c>
      <c r="J135" t="str">
        <f t="shared" si="2"/>
        <v xml:space="preserve"> Safety instructions</v>
      </c>
    </row>
    <row r="136" spans="1:10" x14ac:dyDescent="0.25">
      <c r="A136" t="s">
        <v>1856</v>
      </c>
      <c r="J136" t="str">
        <f t="shared" si="2"/>
        <v xml:space="preserve"> Notes on maintenance practices</v>
      </c>
    </row>
    <row r="137" spans="1:10" x14ac:dyDescent="0.25">
      <c r="A137" t="s">
        <v>1857</v>
      </c>
      <c r="J137" t="str">
        <f t="shared" si="2"/>
        <v xml:space="preserve"> Maintaining seals</v>
      </c>
    </row>
    <row r="138" spans="1:10" x14ac:dyDescent="0.25">
      <c r="A138" t="s">
        <v>1858</v>
      </c>
      <c r="J138" t="str">
        <f t="shared" si="2"/>
        <v xml:space="preserve"> Maintenance schedule</v>
      </c>
    </row>
    <row r="139" spans="1:10" x14ac:dyDescent="0.25">
      <c r="A139" t="s">
        <v>1859</v>
      </c>
      <c r="J139" t="str">
        <f t="shared" si="2"/>
        <v xml:space="preserve"> Lubrication schedule</v>
      </c>
    </row>
    <row r="140" spans="1:10" x14ac:dyDescent="0.25">
      <c r="A140" t="s">
        <v>1860</v>
      </c>
      <c r="J140" t="str">
        <f t="shared" si="2"/>
        <v xml:space="preserve"> Lubricating and cleaning instructions</v>
      </c>
    </row>
    <row r="141" spans="1:10" x14ac:dyDescent="0.25">
      <c r="A141" t="s">
        <v>1861</v>
      </c>
      <c r="J141" t="str">
        <f t="shared" si="2"/>
        <v xml:space="preserve"> Repairs</v>
      </c>
    </row>
    <row r="142" spans="1:10" x14ac:dyDescent="0.25">
      <c r="A142" t="s">
        <v>1862</v>
      </c>
      <c r="J142" t="str">
        <f t="shared" si="2"/>
        <v xml:space="preserve"> Tightening torques</v>
      </c>
    </row>
    <row r="143" spans="1:10" x14ac:dyDescent="0.25">
      <c r="A143" t="s">
        <v>1863</v>
      </c>
      <c r="J143" t="str">
        <f t="shared" si="2"/>
        <v xml:space="preserve"> Changing the feed screw </v>
      </c>
    </row>
    <row r="144" spans="1:10" x14ac:dyDescent="0.25">
      <c r="A144" t="s">
        <v>1864</v>
      </c>
      <c r="J144" t="str">
        <f t="shared" si="2"/>
        <v xml:space="preserve"> Adjusting the feed screw </v>
      </c>
    </row>
    <row r="145" spans="1:10" x14ac:dyDescent="0.25">
      <c r="A145" t="s">
        <v>1865</v>
      </c>
      <c r="J145" t="str">
        <f t="shared" si="2"/>
        <v xml:space="preserve"> Changing glide strips</v>
      </c>
    </row>
    <row r="146" spans="1:10" x14ac:dyDescent="0.25">
      <c r="A146" t="s">
        <v>1866</v>
      </c>
      <c r="J146" t="str">
        <f t="shared" si="2"/>
        <v xml:space="preserve"> Central lubrication system</v>
      </c>
    </row>
    <row r="147" spans="1:10" x14ac:dyDescent="0.25">
      <c r="A147" t="s">
        <v>1867</v>
      </c>
      <c r="J147" t="str">
        <f t="shared" si="2"/>
        <v xml:space="preserve"> Changing the components of the pneumatic safety system</v>
      </c>
    </row>
    <row r="148" spans="1:10" x14ac:dyDescent="0.25">
      <c r="A148" t="s">
        <v>1868</v>
      </c>
      <c r="J148" t="str">
        <f t="shared" si="2"/>
        <v xml:space="preserve"> Drive</v>
      </c>
    </row>
    <row r="149" spans="1:10" x14ac:dyDescent="0.25">
      <c r="A149" t="s">
        <v>1869</v>
      </c>
      <c r="J149" t="str">
        <f t="shared" si="2"/>
        <v xml:space="preserve"> Lift cylinder</v>
      </c>
    </row>
    <row r="150" spans="1:10" x14ac:dyDescent="0.25">
      <c r="A150" t="s">
        <v>1870</v>
      </c>
      <c r="J150" t="str">
        <f t="shared" si="2"/>
        <v xml:space="preserve"> Filling valve</v>
      </c>
    </row>
    <row r="151" spans="1:10" x14ac:dyDescent="0.25">
      <c r="A151" t="s">
        <v>1871</v>
      </c>
      <c r="J151" t="str">
        <f t="shared" si="2"/>
        <v xml:space="preserve"> Height adjustment</v>
      </c>
    </row>
    <row r="152" spans="1:10" x14ac:dyDescent="0.25">
      <c r="A152" t="s">
        <v>1872</v>
      </c>
      <c r="J152" t="str">
        <f t="shared" si="2"/>
        <v xml:space="preserve"> Changing the seal in the articulated arm</v>
      </c>
    </row>
    <row r="153" spans="1:10" x14ac:dyDescent="0.25">
      <c r="A153" t="s">
        <v>1873</v>
      </c>
      <c r="J153" t="str">
        <f t="shared" si="2"/>
        <v xml:space="preserve"> Crown corker</v>
      </c>
    </row>
    <row r="154" spans="1:10" x14ac:dyDescent="0.25">
      <c r="A154" t="s">
        <v>1874</v>
      </c>
      <c r="J154" t="str">
        <f t="shared" si="2"/>
        <v xml:space="preserve"> Faults</v>
      </c>
    </row>
    <row r="155" spans="1:10" x14ac:dyDescent="0.25">
      <c r="A155" t="s">
        <v>1875</v>
      </c>
      <c r="J155" t="str">
        <f t="shared" si="2"/>
        <v xml:space="preserve"> Safety instructions</v>
      </c>
    </row>
    <row r="156" spans="1:10" x14ac:dyDescent="0.25">
      <c r="A156" t="s">
        <v>1876</v>
      </c>
      <c r="J156" t="str">
        <f t="shared" si="2"/>
        <v xml:space="preserve"> Displays</v>
      </c>
    </row>
    <row r="157" spans="1:10" x14ac:dyDescent="0.25">
      <c r="A157" t="s">
        <v>1877</v>
      </c>
      <c r="J157" t="str">
        <f t="shared" si="2"/>
        <v xml:space="preserve"> Fault displayed by the signal lamp</v>
      </c>
    </row>
    <row r="158" spans="1:10" x14ac:dyDescent="0.25">
      <c r="A158" t="s">
        <v>1878</v>
      </c>
      <c r="J158" t="str">
        <f t="shared" si="2"/>
        <v xml:space="preserve"> Displaying machine automation fault messages</v>
      </c>
    </row>
    <row r="159" spans="1:10" x14ac:dyDescent="0.25">
      <c r="A159" t="s">
        <v>1879</v>
      </c>
      <c r="J159" t="str">
        <f t="shared" si="2"/>
        <v xml:space="preserve"> Faults and warnings on the operator console</v>
      </c>
    </row>
    <row r="160" spans="1:10" x14ac:dyDescent="0.25">
      <c r="A160" t="s">
        <v>1880</v>
      </c>
      <c r="J160" t="str">
        <f t="shared" si="2"/>
        <v xml:space="preserve"> Displaying faults on the overview screen in the operator guidance section</v>
      </c>
    </row>
    <row r="161" spans="1:10" x14ac:dyDescent="0.25">
      <c r="A161" t="s">
        <v>1881</v>
      </c>
      <c r="J161" t="str">
        <f t="shared" si="2"/>
        <v xml:space="preserve"> Rectifying faults</v>
      </c>
    </row>
    <row r="162" spans="1:10" x14ac:dyDescent="0.25">
      <c r="A162" t="s">
        <v>1882</v>
      </c>
      <c r="J162" t="str">
        <f t="shared" si="2"/>
        <v xml:space="preserve"> Eliminating fault messages from the overview screen</v>
      </c>
    </row>
    <row r="163" spans="1:10" x14ac:dyDescent="0.25">
      <c r="A163" t="s">
        <v>1883</v>
      </c>
      <c r="J163" t="str">
        <f t="shared" si="2"/>
        <v xml:space="preserve"> DP master system/Profibus</v>
      </c>
    </row>
    <row r="164" spans="1:10" x14ac:dyDescent="0.25">
      <c r="A164" t="s">
        <v>1884</v>
      </c>
      <c r="J164" t="str">
        <f t="shared" si="2"/>
        <v xml:space="preserve"> Malfunction in Electrical Area</v>
      </c>
    </row>
    <row r="165" spans="1:10" x14ac:dyDescent="0.25">
      <c r="A165" t="s">
        <v>1885</v>
      </c>
      <c r="J165" t="str">
        <f t="shared" si="2"/>
        <v xml:space="preserve"> Machine paneling</v>
      </c>
    </row>
    <row r="166" spans="1:10" x14ac:dyDescent="0.25">
      <c r="A166" t="s">
        <v>1886</v>
      </c>
      <c r="J166" t="str">
        <f t="shared" si="2"/>
        <v xml:space="preserve"> Central lubrication system</v>
      </c>
    </row>
    <row r="167" spans="1:10" x14ac:dyDescent="0.25">
      <c r="A167" t="s">
        <v>1887</v>
      </c>
      <c r="J167" t="str">
        <f t="shared" si="2"/>
        <v xml:space="preserve"> Servo drive faults</v>
      </c>
    </row>
    <row r="168" spans="1:10" x14ac:dyDescent="0.25">
      <c r="A168" t="s">
        <v>1888</v>
      </c>
      <c r="J168" t="str">
        <f t="shared" si="2"/>
        <v xml:space="preserve"> Filler</v>
      </c>
    </row>
    <row r="169" spans="1:10" x14ac:dyDescent="0.25">
      <c r="A169" t="s">
        <v>1889</v>
      </c>
      <c r="J169" t="str">
        <f t="shared" si="2"/>
        <v xml:space="preserve"> Filling valve</v>
      </c>
    </row>
    <row r="170" spans="1:10" x14ac:dyDescent="0.25">
      <c r="A170" t="s">
        <v>1890</v>
      </c>
      <c r="J170" t="str">
        <f t="shared" si="2"/>
        <v xml:space="preserve"> Crown corker</v>
      </c>
    </row>
    <row r="171" spans="1:10" x14ac:dyDescent="0.25">
      <c r="A171" t="s">
        <v>1891</v>
      </c>
      <c r="J171" t="str">
        <f t="shared" si="2"/>
        <v xml:space="preserve"> Valve manifold</v>
      </c>
    </row>
    <row r="172" spans="1:10" x14ac:dyDescent="0.25">
      <c r="A172" t="s">
        <v>1892</v>
      </c>
      <c r="J172" t="str">
        <f t="shared" si="2"/>
        <v xml:space="preserve"> Technical data</v>
      </c>
    </row>
    <row r="173" spans="1:10" x14ac:dyDescent="0.25">
      <c r="A173" t="s">
        <v>1893</v>
      </c>
      <c r="J173" t="str">
        <f t="shared" si="2"/>
        <v xml:space="preserve"> Safety harness dimensions</v>
      </c>
    </row>
    <row r="174" spans="1:10" x14ac:dyDescent="0.25">
      <c r="A174" t="s">
        <v>1894</v>
      </c>
      <c r="J174" t="str">
        <f t="shared" si="2"/>
        <v xml:space="preserve"> Media requirements</v>
      </c>
    </row>
    <row r="175" spans="1:10" x14ac:dyDescent="0.25">
      <c r="A175" t="s">
        <v>1895</v>
      </c>
      <c r="J175" t="str">
        <f t="shared" si="2"/>
        <v xml:space="preserve"> Explanation of terms</v>
      </c>
    </row>
    <row r="176" spans="1:10" x14ac:dyDescent="0.25">
      <c r="A176" t="s">
        <v>1896</v>
      </c>
      <c r="J176" t="str">
        <f t="shared" si="2"/>
        <v xml:space="preserve"> Water</v>
      </c>
    </row>
    <row r="177" spans="1:10" x14ac:dyDescent="0.25">
      <c r="A177" t="s">
        <v>1897</v>
      </c>
      <c r="J177" t="str">
        <f t="shared" si="2"/>
        <v xml:space="preserve"> Air</v>
      </c>
    </row>
    <row r="178" spans="1:10" x14ac:dyDescent="0.25">
      <c r="A178" t="s">
        <v>1898</v>
      </c>
      <c r="J178" t="str">
        <f t="shared" si="2"/>
        <v xml:space="preserve"> Pressurization gases</v>
      </c>
    </row>
    <row r="179" spans="1:10" x14ac:dyDescent="0.25">
      <c r="A179" t="s">
        <v>1899</v>
      </c>
      <c r="J179" t="str">
        <f t="shared" si="2"/>
        <v xml:space="preserve"> Steam</v>
      </c>
    </row>
    <row r="180" spans="1:10" x14ac:dyDescent="0.25">
      <c r="A180" t="s">
        <v>1900</v>
      </c>
      <c r="J180" t="str">
        <f t="shared" si="2"/>
        <v xml:space="preserve"> Products to be filled</v>
      </c>
    </row>
    <row r="181" spans="1:10" x14ac:dyDescent="0.25">
      <c r="A181" t="s">
        <v>1901</v>
      </c>
      <c r="J181" t="str">
        <f t="shared" si="2"/>
        <v xml:space="preserve"> Cleaning recommendations</v>
      </c>
    </row>
    <row r="182" spans="1:10" x14ac:dyDescent="0.25">
      <c r="A182" t="s">
        <v>1902</v>
      </c>
      <c r="J182" t="str">
        <f t="shared" si="2"/>
        <v xml:space="preserve"> Operation</v>
      </c>
    </row>
    <row r="183" spans="1:10" x14ac:dyDescent="0.25">
      <c r="A183" t="s">
        <v>1903</v>
      </c>
      <c r="J183" t="str">
        <f t="shared" si="2"/>
        <v xml:space="preserve"> Machine specifications</v>
      </c>
    </row>
    <row r="184" spans="1:10" x14ac:dyDescent="0.25">
      <c r="A184" t="s">
        <v>1904</v>
      </c>
      <c r="J184" t="str">
        <f t="shared" si="2"/>
        <v xml:space="preserve"> Pipeline diagrams</v>
      </c>
    </row>
    <row r="185" spans="1:10" x14ac:dyDescent="0.25">
      <c r="A185" t="s">
        <v>1905</v>
      </c>
      <c r="J185" t="str">
        <f t="shared" si="2"/>
        <v xml:space="preserve"> Noise emissions</v>
      </c>
    </row>
    <row r="186" spans="1:10" x14ac:dyDescent="0.25">
      <c r="A186" t="s">
        <v>1906</v>
      </c>
      <c r="J186" t="str">
        <f t="shared" si="2"/>
        <v xml:space="preserve"> Filler specification sheet</v>
      </c>
    </row>
    <row r="187" spans="1:10" x14ac:dyDescent="0.25">
      <c r="A187" t="s">
        <v>1907</v>
      </c>
      <c r="J187" t="str">
        <f t="shared" si="2"/>
        <v xml:space="preserve"> Settings</v>
      </c>
    </row>
    <row r="188" spans="1:10" x14ac:dyDescent="0.25">
      <c r="A188" t="s">
        <v>1908</v>
      </c>
      <c r="J188" t="str">
        <f t="shared" si="2"/>
        <v xml:space="preserve"> Servicing</v>
      </c>
    </row>
    <row r="189" spans="1:10" x14ac:dyDescent="0.25">
      <c r="A189" t="s">
        <v>1909</v>
      </c>
      <c r="J189" t="str">
        <f t="shared" si="2"/>
        <v xml:space="preserve"> Information on lubricant identifiers</v>
      </c>
    </row>
    <row r="190" spans="1:10" x14ac:dyDescent="0.25">
      <c r="A190" t="s">
        <v>1910</v>
      </c>
      <c r="J190" t="str">
        <f t="shared" si="2"/>
        <v xml:space="preserve"> Certification of lubricants</v>
      </c>
    </row>
    <row r="191" spans="1:10" x14ac:dyDescent="0.25">
      <c r="A191" t="s">
        <v>1911</v>
      </c>
      <c r="J191" t="str">
        <f t="shared" si="2"/>
        <v xml:space="preserve"> Thresholds for surface cleaning</v>
      </c>
    </row>
    <row r="192" spans="1:10" x14ac:dyDescent="0.25">
      <c r="A192" t="s">
        <v>1912</v>
      </c>
      <c r="J192" t="str">
        <f t="shared" si="2"/>
        <v xml:space="preserve"> Certificates</v>
      </c>
    </row>
    <row r="193" spans="1:10" x14ac:dyDescent="0.25">
      <c r="A193" t="s">
        <v>1913</v>
      </c>
      <c r="J193" t="str">
        <f t="shared" si="2"/>
        <v xml:space="preserve"> Energy-efficient operation</v>
      </c>
    </row>
    <row r="194" spans="1:10" x14ac:dyDescent="0.25">
      <c r="A194" t="s">
        <v>1914</v>
      </c>
      <c r="J194" t="str">
        <f t="shared" si="2"/>
        <v xml:space="preserve"> Appendix</v>
      </c>
    </row>
    <row r="195" spans="1:10" x14ac:dyDescent="0.25">
      <c r="J195" t="e">
        <f t="shared" si="2"/>
        <v>#VALUE!</v>
      </c>
    </row>
    <row r="196" spans="1:10" x14ac:dyDescent="0.25">
      <c r="J196" t="e">
        <f t="shared" si="2"/>
        <v>#VALUE!</v>
      </c>
    </row>
    <row r="197" spans="1:10" x14ac:dyDescent="0.25">
      <c r="J197" t="e">
        <f t="shared" si="2"/>
        <v>#VALUE!</v>
      </c>
    </row>
    <row r="198" spans="1:10" x14ac:dyDescent="0.25">
      <c r="J198" t="e">
        <f t="shared" ref="J198:J228" si="3">MID(A198,FIND(" ",A198),FIND(".",A198,8)-FIND(" ",A198))</f>
        <v>#VALUE!</v>
      </c>
    </row>
    <row r="199" spans="1:10" x14ac:dyDescent="0.25">
      <c r="J199" t="e">
        <f t="shared" si="3"/>
        <v>#VALUE!</v>
      </c>
    </row>
    <row r="200" spans="1:10" x14ac:dyDescent="0.25">
      <c r="J200" t="e">
        <f t="shared" si="3"/>
        <v>#VALUE!</v>
      </c>
    </row>
    <row r="201" spans="1:10" x14ac:dyDescent="0.25">
      <c r="J201" t="e">
        <f t="shared" si="3"/>
        <v>#VALUE!</v>
      </c>
    </row>
    <row r="202" spans="1:10" x14ac:dyDescent="0.25">
      <c r="J202" t="e">
        <f t="shared" si="3"/>
        <v>#VALUE!</v>
      </c>
    </row>
    <row r="203" spans="1:10" x14ac:dyDescent="0.25">
      <c r="J203" t="e">
        <f t="shared" si="3"/>
        <v>#VALUE!</v>
      </c>
    </row>
    <row r="204" spans="1:10" x14ac:dyDescent="0.25">
      <c r="J204" t="e">
        <f t="shared" si="3"/>
        <v>#VALUE!</v>
      </c>
    </row>
    <row r="205" spans="1:10" x14ac:dyDescent="0.25">
      <c r="J205" t="e">
        <f t="shared" si="3"/>
        <v>#VALUE!</v>
      </c>
    </row>
    <row r="206" spans="1:10" x14ac:dyDescent="0.25">
      <c r="J206" t="e">
        <f t="shared" si="3"/>
        <v>#VALUE!</v>
      </c>
    </row>
    <row r="207" spans="1:10" x14ac:dyDescent="0.25">
      <c r="J207" t="e">
        <f t="shared" si="3"/>
        <v>#VALUE!</v>
      </c>
    </row>
    <row r="208" spans="1:10" x14ac:dyDescent="0.25">
      <c r="J208" t="e">
        <f t="shared" si="3"/>
        <v>#VALUE!</v>
      </c>
    </row>
    <row r="209" spans="10:10" x14ac:dyDescent="0.25">
      <c r="J209" t="e">
        <f t="shared" si="3"/>
        <v>#VALUE!</v>
      </c>
    </row>
    <row r="210" spans="10:10" x14ac:dyDescent="0.25">
      <c r="J210" t="e">
        <f t="shared" si="3"/>
        <v>#VALUE!</v>
      </c>
    </row>
    <row r="211" spans="10:10" x14ac:dyDescent="0.25">
      <c r="J211" t="e">
        <f t="shared" si="3"/>
        <v>#VALUE!</v>
      </c>
    </row>
    <row r="212" spans="10:10" x14ac:dyDescent="0.25">
      <c r="J212" t="e">
        <f t="shared" si="3"/>
        <v>#VALUE!</v>
      </c>
    </row>
    <row r="213" spans="10:10" x14ac:dyDescent="0.25">
      <c r="J213" t="e">
        <f t="shared" si="3"/>
        <v>#VALUE!</v>
      </c>
    </row>
    <row r="214" spans="10:10" x14ac:dyDescent="0.25">
      <c r="J214" t="e">
        <f t="shared" si="3"/>
        <v>#VALUE!</v>
      </c>
    </row>
    <row r="215" spans="10:10" x14ac:dyDescent="0.25">
      <c r="J215" t="e">
        <f t="shared" si="3"/>
        <v>#VALUE!</v>
      </c>
    </row>
    <row r="216" spans="10:10" x14ac:dyDescent="0.25">
      <c r="J216" t="e">
        <f t="shared" si="3"/>
        <v>#VALUE!</v>
      </c>
    </row>
    <row r="217" spans="10:10" x14ac:dyDescent="0.25">
      <c r="J217" t="e">
        <f t="shared" si="3"/>
        <v>#VALUE!</v>
      </c>
    </row>
    <row r="218" spans="10:10" x14ac:dyDescent="0.25">
      <c r="J218" t="e">
        <f t="shared" si="3"/>
        <v>#VALUE!</v>
      </c>
    </row>
    <row r="219" spans="10:10" x14ac:dyDescent="0.25">
      <c r="J219" t="e">
        <f t="shared" si="3"/>
        <v>#VALUE!</v>
      </c>
    </row>
    <row r="220" spans="10:10" x14ac:dyDescent="0.25">
      <c r="J220" t="e">
        <f t="shared" si="3"/>
        <v>#VALUE!</v>
      </c>
    </row>
    <row r="221" spans="10:10" x14ac:dyDescent="0.25">
      <c r="J221" t="e">
        <f t="shared" si="3"/>
        <v>#VALUE!</v>
      </c>
    </row>
    <row r="222" spans="10:10" x14ac:dyDescent="0.25">
      <c r="J222" t="e">
        <f t="shared" si="3"/>
        <v>#VALUE!</v>
      </c>
    </row>
    <row r="223" spans="10:10" x14ac:dyDescent="0.25">
      <c r="J223" t="e">
        <f t="shared" si="3"/>
        <v>#VALUE!</v>
      </c>
    </row>
    <row r="224" spans="10:10" x14ac:dyDescent="0.25">
      <c r="J224" t="e">
        <f t="shared" si="3"/>
        <v>#VALUE!</v>
      </c>
    </row>
    <row r="225" spans="10:10" x14ac:dyDescent="0.25">
      <c r="J225" t="e">
        <f t="shared" si="3"/>
        <v>#VALUE!</v>
      </c>
    </row>
    <row r="226" spans="10:10" x14ac:dyDescent="0.25">
      <c r="J226" t="e">
        <f t="shared" si="3"/>
        <v>#VALUE!</v>
      </c>
    </row>
    <row r="227" spans="10:10" x14ac:dyDescent="0.25">
      <c r="J227" t="e">
        <f t="shared" si="3"/>
        <v>#VALUE!</v>
      </c>
    </row>
    <row r="228" spans="10:10" x14ac:dyDescent="0.25">
      <c r="J228" t="e">
        <f t="shared" si="3"/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CEF0-EFCD-4974-8AB6-0C1B698C0B40}">
  <dimension ref="A1:P197"/>
  <sheetViews>
    <sheetView zoomScale="70" zoomScaleNormal="70" workbookViewId="0">
      <selection activeCell="A51" sqref="A51"/>
    </sheetView>
  </sheetViews>
  <sheetFormatPr defaultRowHeight="15" x14ac:dyDescent="0.25"/>
  <cols>
    <col min="1" max="1" width="86.5703125" bestFit="1" customWidth="1"/>
    <col min="2" max="2" width="73" hidden="1" customWidth="1"/>
    <col min="8" max="14" width="63.85546875" bestFit="1" customWidth="1"/>
    <col min="15" max="15" width="76" customWidth="1"/>
  </cols>
  <sheetData>
    <row r="1" spans="1:16" x14ac:dyDescent="0.25">
      <c r="B1" t="s">
        <v>624</v>
      </c>
      <c r="C1" t="s">
        <v>624</v>
      </c>
      <c r="E1" t="s">
        <v>624</v>
      </c>
      <c r="F1" t="s">
        <v>624</v>
      </c>
      <c r="G1" t="s">
        <v>624</v>
      </c>
      <c r="H1" t="s">
        <v>624</v>
      </c>
      <c r="I1" t="s">
        <v>624</v>
      </c>
      <c r="J1" t="s">
        <v>624</v>
      </c>
      <c r="K1" t="s">
        <v>624</v>
      </c>
      <c r="L1" t="s">
        <v>624</v>
      </c>
      <c r="M1" t="s">
        <v>624</v>
      </c>
      <c r="N1" t="s">
        <v>624</v>
      </c>
    </row>
    <row r="2" spans="1:16" x14ac:dyDescent="0.25">
      <c r="A2" t="s">
        <v>465</v>
      </c>
      <c r="B2" t="str">
        <f>IF(H2="",IF(I2="",IF(J2="",IF(K2="",IF(L2="",IF(M2="",IF(N2="",IF(O2="","",_xlfn.CONCAT(D2,E2,F2," - ",O2)),_xlfn.CONCAT(D2,E2,F2," - ",N2)),_xlfn.CONCAT(D2,E2,F2," - ",M2)),_xlfn.CONCAT(D2,E2,F2," - ",L2)),_xlfn.CONCAT(D2,E2,F2," - ",K2)),_xlfn.CONCAT(D2,E2,F2," - ",J2)),_xlfn.CONCAT(D2,E2,F2," - ",I2)),_xlfn.CONCAT(D2,E2,F2," - ",H2))</f>
        <v>PTC1 - Informações gerais</v>
      </c>
      <c r="D2" t="s">
        <v>404</v>
      </c>
      <c r="E2" t="s">
        <v>405</v>
      </c>
      <c r="H2" s="2" t="s">
        <v>147</v>
      </c>
      <c r="I2" s="2" t="s">
        <v>147</v>
      </c>
      <c r="J2" s="2" t="s">
        <v>280</v>
      </c>
      <c r="K2" s="2" t="s">
        <v>147</v>
      </c>
      <c r="L2" s="2" t="s">
        <v>147</v>
      </c>
      <c r="M2" s="2" t="s">
        <v>147</v>
      </c>
      <c r="N2" s="2" t="s">
        <v>147</v>
      </c>
      <c r="O2" t="s">
        <v>625</v>
      </c>
      <c r="P2" t="s">
        <v>0</v>
      </c>
    </row>
    <row r="3" spans="1:16" x14ac:dyDescent="0.25">
      <c r="A3" t="s">
        <v>466</v>
      </c>
      <c r="B3" t="str">
        <f t="shared" ref="B3:B66" si="0">IF(H3="",IF(I3="",IF(J3="",IF(K3="",IF(L3="",IF(M3="",IF(N3="",IF(O3="","",_xlfn.CONCAT(D3,E3,F3," - ",O3)),_xlfn.CONCAT(D3,E3,F3," - ",N3)),_xlfn.CONCAT(D3,E3,F3," - ",M3)),_xlfn.CONCAT(D3,E3,F3," - ",L3)),_xlfn.CONCAT(D3,E3,F3," - ",K3)),_xlfn.CONCAT(D3,E3,F3," - ",J3)),_xlfn.CONCAT(D3,E3,F3," - ",I3)),_xlfn.CONCAT(D3,E3,F3," - ",H3))</f>
        <v>PTC1001 - Grupo-alvo</v>
      </c>
      <c r="D3" t="s">
        <v>404</v>
      </c>
      <c r="E3" t="s">
        <v>405</v>
      </c>
      <c r="F3" s="8" t="s">
        <v>414</v>
      </c>
      <c r="H3" t="s">
        <v>148</v>
      </c>
      <c r="I3" t="s">
        <v>148</v>
      </c>
      <c r="J3" t="s">
        <v>148</v>
      </c>
      <c r="K3" t="s">
        <v>148</v>
      </c>
      <c r="L3" t="s">
        <v>148</v>
      </c>
      <c r="M3" t="s">
        <v>148</v>
      </c>
      <c r="N3" t="s">
        <v>148</v>
      </c>
      <c r="O3" t="s">
        <v>626</v>
      </c>
      <c r="P3" t="s">
        <v>1</v>
      </c>
    </row>
    <row r="4" spans="1:16" x14ac:dyDescent="0.25">
      <c r="A4" t="s">
        <v>467</v>
      </c>
      <c r="B4" t="str">
        <f t="shared" si="0"/>
        <v>PTC1002 - Informações sobre a documentação técnica</v>
      </c>
      <c r="D4" t="s">
        <v>404</v>
      </c>
      <c r="E4" t="s">
        <v>405</v>
      </c>
      <c r="F4" s="8" t="s">
        <v>415</v>
      </c>
      <c r="H4" t="s">
        <v>149</v>
      </c>
      <c r="I4" t="s">
        <v>149</v>
      </c>
      <c r="J4" t="s">
        <v>281</v>
      </c>
      <c r="K4" t="s">
        <v>149</v>
      </c>
      <c r="L4" t="s">
        <v>149</v>
      </c>
      <c r="M4" t="s">
        <v>281</v>
      </c>
      <c r="N4" t="s">
        <v>281</v>
      </c>
      <c r="O4" t="s">
        <v>627</v>
      </c>
      <c r="P4" t="s">
        <v>2</v>
      </c>
    </row>
    <row r="5" spans="1:16" x14ac:dyDescent="0.25">
      <c r="A5" t="s">
        <v>468</v>
      </c>
      <c r="B5" t="str">
        <f t="shared" si="0"/>
        <v>PTC1003 - Atribuição da máquina</v>
      </c>
      <c r="D5" t="s">
        <v>404</v>
      </c>
      <c r="E5" t="s">
        <v>405</v>
      </c>
      <c r="F5" s="8" t="s">
        <v>416</v>
      </c>
      <c r="H5" t="s">
        <v>150</v>
      </c>
      <c r="I5" t="s">
        <v>150</v>
      </c>
      <c r="J5" t="s">
        <v>150</v>
      </c>
      <c r="K5" t="s">
        <v>150</v>
      </c>
      <c r="L5" t="s">
        <v>352</v>
      </c>
      <c r="M5" t="s">
        <v>150</v>
      </c>
      <c r="N5" t="s">
        <v>150</v>
      </c>
      <c r="O5" t="s">
        <v>628</v>
      </c>
      <c r="P5" t="s">
        <v>3</v>
      </c>
    </row>
    <row r="6" spans="1:16" x14ac:dyDescent="0.25">
      <c r="A6" t="s">
        <v>469</v>
      </c>
      <c r="B6" t="str">
        <f t="shared" si="0"/>
        <v>PTC1004 - Componentes integrados</v>
      </c>
      <c r="D6" t="s">
        <v>404</v>
      </c>
      <c r="E6" t="s">
        <v>405</v>
      </c>
      <c r="F6" s="8" t="s">
        <v>417</v>
      </c>
      <c r="J6" t="s">
        <v>282</v>
      </c>
      <c r="O6" t="s">
        <v>629</v>
      </c>
      <c r="P6" t="s">
        <v>282</v>
      </c>
    </row>
    <row r="7" spans="1:16" x14ac:dyDescent="0.25">
      <c r="A7" t="s">
        <v>470</v>
      </c>
      <c r="B7" t="str">
        <f t="shared" si="0"/>
        <v>PTC1005 - Assistência ao cliente</v>
      </c>
      <c r="D7" t="s">
        <v>404</v>
      </c>
      <c r="E7" t="s">
        <v>405</v>
      </c>
      <c r="F7" s="8" t="s">
        <v>418</v>
      </c>
      <c r="H7" t="s">
        <v>151</v>
      </c>
      <c r="I7" t="s">
        <v>151</v>
      </c>
      <c r="J7" t="s">
        <v>151</v>
      </c>
      <c r="K7" t="s">
        <v>151</v>
      </c>
      <c r="L7" t="s">
        <v>151</v>
      </c>
      <c r="M7" t="s">
        <v>151</v>
      </c>
      <c r="N7" t="s">
        <v>151</v>
      </c>
      <c r="O7" t="s">
        <v>630</v>
      </c>
      <c r="P7" t="s">
        <v>4</v>
      </c>
    </row>
    <row r="8" spans="1:16" x14ac:dyDescent="0.25">
      <c r="A8" t="s">
        <v>471</v>
      </c>
      <c r="B8" t="str">
        <f t="shared" si="0"/>
        <v>PTC1006 - Direitos autorais</v>
      </c>
      <c r="D8" t="s">
        <v>404</v>
      </c>
      <c r="E8" t="s">
        <v>405</v>
      </c>
      <c r="F8" s="8" t="s">
        <v>419</v>
      </c>
      <c r="H8" t="s">
        <v>152</v>
      </c>
      <c r="I8" t="s">
        <v>152</v>
      </c>
      <c r="J8" t="s">
        <v>152</v>
      </c>
      <c r="K8" t="s">
        <v>152</v>
      </c>
      <c r="L8" t="s">
        <v>152</v>
      </c>
      <c r="M8" t="s">
        <v>152</v>
      </c>
      <c r="N8" t="s">
        <v>152</v>
      </c>
      <c r="O8" t="s">
        <v>631</v>
      </c>
      <c r="P8" t="s">
        <v>5</v>
      </c>
    </row>
    <row r="9" spans="1:16" x14ac:dyDescent="0.25">
      <c r="A9" t="s">
        <v>472</v>
      </c>
      <c r="B9" t="str">
        <f t="shared" si="0"/>
        <v xml:space="preserve">PTC1007 - Avisos para a leitura </v>
      </c>
      <c r="D9" t="s">
        <v>404</v>
      </c>
      <c r="E9" t="s">
        <v>405</v>
      </c>
      <c r="F9" s="8" t="s">
        <v>420</v>
      </c>
      <c r="H9" t="s">
        <v>153</v>
      </c>
      <c r="I9" t="s">
        <v>153</v>
      </c>
      <c r="J9" t="s">
        <v>283</v>
      </c>
      <c r="K9" t="s">
        <v>153</v>
      </c>
      <c r="L9" t="s">
        <v>153</v>
      </c>
      <c r="M9" t="s">
        <v>283</v>
      </c>
      <c r="N9" t="s">
        <v>283</v>
      </c>
      <c r="O9" t="s">
        <v>632</v>
      </c>
      <c r="P9" t="s">
        <v>6</v>
      </c>
    </row>
    <row r="10" spans="1:16" x14ac:dyDescent="0.25">
      <c r="A10" t="s">
        <v>473</v>
      </c>
      <c r="B10" t="str">
        <f t="shared" si="0"/>
        <v>PTC2 - Segurança</v>
      </c>
      <c r="D10" t="s">
        <v>404</v>
      </c>
      <c r="E10" t="s">
        <v>406</v>
      </c>
      <c r="H10" s="2" t="s">
        <v>154</v>
      </c>
      <c r="I10" s="2" t="s">
        <v>154</v>
      </c>
      <c r="J10" s="2" t="s">
        <v>154</v>
      </c>
      <c r="K10" s="2" t="s">
        <v>154</v>
      </c>
      <c r="L10" s="2" t="s">
        <v>154</v>
      </c>
      <c r="M10" s="2" t="s">
        <v>154</v>
      </c>
      <c r="N10" s="2" t="s">
        <v>154</v>
      </c>
      <c r="O10" t="s">
        <v>633</v>
      </c>
      <c r="P10" t="s">
        <v>7</v>
      </c>
    </row>
    <row r="11" spans="1:16" x14ac:dyDescent="0.25">
      <c r="A11" t="s">
        <v>474</v>
      </c>
      <c r="B11" t="str">
        <f t="shared" si="0"/>
        <v>PTC2001 - Função de avisos de segurança</v>
      </c>
      <c r="D11" t="s">
        <v>404</v>
      </c>
      <c r="E11" t="s">
        <v>406</v>
      </c>
      <c r="F11" s="8" t="s">
        <v>414</v>
      </c>
      <c r="H11" t="s">
        <v>155</v>
      </c>
      <c r="I11" t="s">
        <v>155</v>
      </c>
      <c r="J11" t="s">
        <v>284</v>
      </c>
      <c r="K11" t="s">
        <v>155</v>
      </c>
      <c r="L11" t="s">
        <v>155</v>
      </c>
      <c r="M11" t="s">
        <v>284</v>
      </c>
      <c r="N11" t="s">
        <v>284</v>
      </c>
      <c r="O11" t="s">
        <v>634</v>
      </c>
      <c r="P11" t="s">
        <v>8</v>
      </c>
    </row>
    <row r="12" spans="1:16" x14ac:dyDescent="0.25">
      <c r="A12" t="s">
        <v>475</v>
      </c>
      <c r="B12" t="str">
        <f t="shared" si="0"/>
        <v>PTC2002 - Utilização prevista</v>
      </c>
      <c r="D12" t="s">
        <v>404</v>
      </c>
      <c r="E12" t="s">
        <v>406</v>
      </c>
      <c r="F12" s="8" t="s">
        <v>415</v>
      </c>
      <c r="H12" t="s">
        <v>156</v>
      </c>
      <c r="I12" t="s">
        <v>156</v>
      </c>
      <c r="J12" t="s">
        <v>156</v>
      </c>
      <c r="K12" t="s">
        <v>156</v>
      </c>
      <c r="L12" t="s">
        <v>156</v>
      </c>
      <c r="M12" t="s">
        <v>156</v>
      </c>
      <c r="N12" t="s">
        <v>156</v>
      </c>
      <c r="O12" t="s">
        <v>635</v>
      </c>
      <c r="P12" t="s">
        <v>9</v>
      </c>
    </row>
    <row r="13" spans="1:16" x14ac:dyDescent="0.25">
      <c r="A13" t="s">
        <v>476</v>
      </c>
      <c r="B13" t="str">
        <f t="shared" si="0"/>
        <v>PTC2003 - Possibilidades de uso incorreto</v>
      </c>
      <c r="D13" t="s">
        <v>404</v>
      </c>
      <c r="E13" t="s">
        <v>406</v>
      </c>
      <c r="F13" s="8" t="s">
        <v>416</v>
      </c>
      <c r="H13" t="s">
        <v>157</v>
      </c>
      <c r="I13" t="s">
        <v>346</v>
      </c>
      <c r="J13" t="s">
        <v>285</v>
      </c>
      <c r="K13" t="s">
        <v>346</v>
      </c>
      <c r="L13" t="s">
        <v>346</v>
      </c>
      <c r="M13" t="s">
        <v>285</v>
      </c>
      <c r="N13" t="s">
        <v>285</v>
      </c>
      <c r="O13" t="s">
        <v>636</v>
      </c>
      <c r="P13" t="s">
        <v>10</v>
      </c>
    </row>
    <row r="14" spans="1:16" x14ac:dyDescent="0.25">
      <c r="A14" t="s">
        <v>477</v>
      </c>
      <c r="B14" t="str">
        <f t="shared" si="0"/>
        <v>PTC2004 - Deveres do operador</v>
      </c>
      <c r="D14" t="s">
        <v>404</v>
      </c>
      <c r="E14" t="s">
        <v>406</v>
      </c>
      <c r="F14" s="8" t="s">
        <v>417</v>
      </c>
      <c r="H14" t="s">
        <v>158</v>
      </c>
      <c r="I14" t="s">
        <v>158</v>
      </c>
      <c r="J14" t="s">
        <v>158</v>
      </c>
      <c r="K14" t="s">
        <v>158</v>
      </c>
      <c r="L14" t="s">
        <v>158</v>
      </c>
      <c r="M14" t="s">
        <v>158</v>
      </c>
      <c r="N14" t="s">
        <v>158</v>
      </c>
      <c r="O14" t="s">
        <v>637</v>
      </c>
      <c r="P14" t="s">
        <v>11</v>
      </c>
    </row>
    <row r="15" spans="1:16" x14ac:dyDescent="0.25">
      <c r="A15" t="s">
        <v>478</v>
      </c>
      <c r="B15" t="str">
        <f t="shared" si="0"/>
        <v>PTC2005 - Requisitos relativos ao pessoal</v>
      </c>
      <c r="D15" t="s">
        <v>404</v>
      </c>
      <c r="E15" t="s">
        <v>406</v>
      </c>
      <c r="F15" s="8" t="s">
        <v>418</v>
      </c>
      <c r="H15" t="s">
        <v>159</v>
      </c>
      <c r="I15" t="s">
        <v>159</v>
      </c>
      <c r="J15" t="s">
        <v>286</v>
      </c>
      <c r="K15" t="s">
        <v>159</v>
      </c>
      <c r="L15" t="s">
        <v>159</v>
      </c>
      <c r="M15" t="s">
        <v>286</v>
      </c>
      <c r="N15" t="s">
        <v>286</v>
      </c>
      <c r="O15" t="s">
        <v>638</v>
      </c>
      <c r="P15" t="s">
        <v>12</v>
      </c>
    </row>
    <row r="16" spans="1:16" x14ac:dyDescent="0.25">
      <c r="A16" t="s">
        <v>479</v>
      </c>
      <c r="B16" t="str">
        <f t="shared" si="0"/>
        <v>PTC2006 - Equipamento de proteção</v>
      </c>
      <c r="D16" t="s">
        <v>404</v>
      </c>
      <c r="E16" t="s">
        <v>406</v>
      </c>
      <c r="F16" s="8" t="s">
        <v>419</v>
      </c>
      <c r="H16" t="s">
        <v>160</v>
      </c>
      <c r="I16" t="s">
        <v>160</v>
      </c>
      <c r="J16" t="s">
        <v>160</v>
      </c>
      <c r="K16" t="s">
        <v>160</v>
      </c>
      <c r="L16" t="s">
        <v>160</v>
      </c>
      <c r="M16" t="s">
        <v>160</v>
      </c>
      <c r="N16" t="s">
        <v>160</v>
      </c>
      <c r="O16" t="s">
        <v>160</v>
      </c>
      <c r="P16" t="s">
        <v>13</v>
      </c>
    </row>
    <row r="17" spans="1:16" x14ac:dyDescent="0.25">
      <c r="A17" t="s">
        <v>480</v>
      </c>
      <c r="B17" t="str">
        <f t="shared" si="0"/>
        <v>PTC2007 - Áreas de risco e sua identificação</v>
      </c>
      <c r="D17" t="s">
        <v>404</v>
      </c>
      <c r="E17" t="s">
        <v>406</v>
      </c>
      <c r="F17" s="8" t="s">
        <v>420</v>
      </c>
      <c r="H17" t="s">
        <v>161</v>
      </c>
      <c r="I17" t="s">
        <v>161</v>
      </c>
      <c r="J17" t="s">
        <v>287</v>
      </c>
      <c r="K17" t="s">
        <v>161</v>
      </c>
      <c r="L17" t="s">
        <v>161</v>
      </c>
      <c r="M17" t="s">
        <v>287</v>
      </c>
      <c r="N17" t="s">
        <v>287</v>
      </c>
      <c r="O17" t="s">
        <v>639</v>
      </c>
      <c r="P17" t="s">
        <v>14</v>
      </c>
    </row>
    <row r="18" spans="1:16" x14ac:dyDescent="0.25">
      <c r="A18" s="9" t="s">
        <v>779</v>
      </c>
      <c r="B18" s="9" t="str">
        <f t="shared" si="0"/>
        <v>PTC2008 - sinais de proibição</v>
      </c>
      <c r="D18" t="s">
        <v>404</v>
      </c>
      <c r="E18" t="s">
        <v>406</v>
      </c>
      <c r="F18" s="8" t="s">
        <v>421</v>
      </c>
      <c r="O18" t="s">
        <v>640</v>
      </c>
      <c r="P18" t="s">
        <v>136</v>
      </c>
    </row>
    <row r="19" spans="1:16" x14ac:dyDescent="0.25">
      <c r="A19" t="s">
        <v>481</v>
      </c>
      <c r="B19" t="str">
        <f t="shared" si="0"/>
        <v>PTC2009 - Sinais de aviso</v>
      </c>
      <c r="D19" t="s">
        <v>404</v>
      </c>
      <c r="E19" t="s">
        <v>406</v>
      </c>
      <c r="F19" s="8" t="s">
        <v>422</v>
      </c>
      <c r="H19" t="s">
        <v>162</v>
      </c>
      <c r="I19" t="s">
        <v>162</v>
      </c>
      <c r="J19" t="s">
        <v>162</v>
      </c>
      <c r="K19" t="s">
        <v>162</v>
      </c>
      <c r="L19" t="s">
        <v>162</v>
      </c>
      <c r="M19" t="s">
        <v>162</v>
      </c>
      <c r="N19" t="s">
        <v>162</v>
      </c>
      <c r="O19" t="s">
        <v>162</v>
      </c>
      <c r="P19" t="s">
        <v>15</v>
      </c>
    </row>
    <row r="20" spans="1:16" x14ac:dyDescent="0.25">
      <c r="A20" t="s">
        <v>482</v>
      </c>
      <c r="B20" t="str">
        <f t="shared" si="0"/>
        <v>PTC2010 - Sinais de obrigação</v>
      </c>
      <c r="D20" t="s">
        <v>404</v>
      </c>
      <c r="E20" t="s">
        <v>406</v>
      </c>
      <c r="F20" s="8" t="s">
        <v>423</v>
      </c>
      <c r="H20" t="s">
        <v>163</v>
      </c>
      <c r="I20" t="s">
        <v>163</v>
      </c>
      <c r="K20" t="s">
        <v>163</v>
      </c>
      <c r="L20" t="s">
        <v>163</v>
      </c>
      <c r="M20" t="s">
        <v>163</v>
      </c>
      <c r="N20" t="s">
        <v>163</v>
      </c>
      <c r="O20" t="s">
        <v>641</v>
      </c>
      <c r="P20" t="s">
        <v>126</v>
      </c>
    </row>
    <row r="21" spans="1:16" x14ac:dyDescent="0.25">
      <c r="A21" t="s">
        <v>483</v>
      </c>
      <c r="B21" t="str">
        <f t="shared" si="0"/>
        <v>PTC2011 - Localização dos sinais</v>
      </c>
      <c r="D21" t="s">
        <v>404</v>
      </c>
      <c r="E21" t="s">
        <v>406</v>
      </c>
      <c r="F21" s="8" t="s">
        <v>424</v>
      </c>
      <c r="H21" t="s">
        <v>164</v>
      </c>
      <c r="I21" t="s">
        <v>164</v>
      </c>
      <c r="J21" t="s">
        <v>288</v>
      </c>
      <c r="K21" t="s">
        <v>164</v>
      </c>
      <c r="L21" t="s">
        <v>164</v>
      </c>
      <c r="M21" t="s">
        <v>288</v>
      </c>
      <c r="N21" t="s">
        <v>288</v>
      </c>
      <c r="O21" t="s">
        <v>642</v>
      </c>
      <c r="P21" t="s">
        <v>16</v>
      </c>
    </row>
    <row r="22" spans="1:16" x14ac:dyDescent="0.25">
      <c r="A22" t="s">
        <v>484</v>
      </c>
      <c r="B22" t="str">
        <f t="shared" si="0"/>
        <v>PTC2012 - Dispositivos de proteção</v>
      </c>
      <c r="D22" t="s">
        <v>404</v>
      </c>
      <c r="E22" t="s">
        <v>406</v>
      </c>
      <c r="F22" s="8" t="s">
        <v>425</v>
      </c>
      <c r="H22" t="s">
        <v>165</v>
      </c>
      <c r="I22" t="s">
        <v>165</v>
      </c>
      <c r="J22" t="s">
        <v>165</v>
      </c>
      <c r="K22" t="s">
        <v>165</v>
      </c>
      <c r="L22" t="s">
        <v>165</v>
      </c>
      <c r="M22" t="s">
        <v>165</v>
      </c>
      <c r="N22" t="s">
        <v>165</v>
      </c>
      <c r="O22" t="s">
        <v>643</v>
      </c>
      <c r="P22" t="s">
        <v>17</v>
      </c>
    </row>
    <row r="23" spans="1:16" x14ac:dyDescent="0.25">
      <c r="A23" t="s">
        <v>485</v>
      </c>
      <c r="B23" t="str">
        <f t="shared" si="0"/>
        <v>PTC2013 - Parada de emergência</v>
      </c>
      <c r="D23" t="s">
        <v>404</v>
      </c>
      <c r="E23" t="s">
        <v>406</v>
      </c>
      <c r="F23" s="8" t="s">
        <v>426</v>
      </c>
      <c r="H23" t="s">
        <v>166</v>
      </c>
      <c r="I23" t="s">
        <v>166</v>
      </c>
      <c r="J23" t="s">
        <v>289</v>
      </c>
      <c r="K23" t="s">
        <v>166</v>
      </c>
      <c r="L23" t="s">
        <v>166</v>
      </c>
      <c r="M23" t="s">
        <v>289</v>
      </c>
      <c r="N23" t="s">
        <v>289</v>
      </c>
      <c r="O23" t="s">
        <v>166</v>
      </c>
      <c r="P23" t="s">
        <v>18</v>
      </c>
    </row>
    <row r="24" spans="1:16" x14ac:dyDescent="0.25">
      <c r="A24" t="s">
        <v>486</v>
      </c>
      <c r="B24" t="str">
        <f t="shared" si="0"/>
        <v>PTC2014 - Válvula de segurança contra sobrepressão não permitida</v>
      </c>
      <c r="D24" t="s">
        <v>404</v>
      </c>
      <c r="E24" t="s">
        <v>406</v>
      </c>
      <c r="F24" s="8" t="s">
        <v>427</v>
      </c>
      <c r="H24" t="s">
        <v>167</v>
      </c>
      <c r="I24" t="s">
        <v>167</v>
      </c>
      <c r="J24" t="s">
        <v>290</v>
      </c>
      <c r="K24" t="s">
        <v>167</v>
      </c>
      <c r="L24" t="s">
        <v>167</v>
      </c>
      <c r="M24" t="s">
        <v>290</v>
      </c>
      <c r="N24" t="s">
        <v>290</v>
      </c>
      <c r="O24" t="s">
        <v>644</v>
      </c>
      <c r="P24" t="s">
        <v>19</v>
      </c>
    </row>
    <row r="25" spans="1:16" x14ac:dyDescent="0.25">
      <c r="A25" t="s">
        <v>487</v>
      </c>
      <c r="B25" t="str">
        <f t="shared" si="0"/>
        <v>PTC2015 - Grelha de proteção</v>
      </c>
      <c r="D25" t="s">
        <v>404</v>
      </c>
      <c r="E25" t="s">
        <v>406</v>
      </c>
      <c r="F25" s="8" t="s">
        <v>428</v>
      </c>
      <c r="J25" t="s">
        <v>291</v>
      </c>
      <c r="L25" t="s">
        <v>353</v>
      </c>
      <c r="M25" t="s">
        <v>291</v>
      </c>
      <c r="N25" t="s">
        <v>291</v>
      </c>
      <c r="O25" t="s">
        <v>645</v>
      </c>
      <c r="P25" t="s">
        <v>127</v>
      </c>
    </row>
    <row r="26" spans="1:16" x14ac:dyDescent="0.25">
      <c r="A26" t="s">
        <v>488</v>
      </c>
      <c r="B26" t="str">
        <f t="shared" si="0"/>
        <v>PTC2016 - Isolamento</v>
      </c>
      <c r="D26" t="s">
        <v>404</v>
      </c>
      <c r="E26" t="s">
        <v>406</v>
      </c>
      <c r="F26" s="8" t="s">
        <v>429</v>
      </c>
      <c r="L26" t="s">
        <v>354</v>
      </c>
      <c r="M26" t="s">
        <v>354</v>
      </c>
      <c r="N26" t="s">
        <v>354</v>
      </c>
      <c r="O26" t="s">
        <v>354</v>
      </c>
      <c r="P26" t="s">
        <v>128</v>
      </c>
    </row>
    <row r="27" spans="1:16" x14ac:dyDescent="0.25">
      <c r="A27" t="s">
        <v>489</v>
      </c>
      <c r="B27" t="str">
        <f t="shared" si="0"/>
        <v>PTC2017 - Localização dos dispositivos de proteção</v>
      </c>
      <c r="D27" t="s">
        <v>404</v>
      </c>
      <c r="E27" t="s">
        <v>406</v>
      </c>
      <c r="F27" s="8" t="s">
        <v>430</v>
      </c>
      <c r="H27" t="s">
        <v>168</v>
      </c>
      <c r="I27" t="s">
        <v>168</v>
      </c>
      <c r="J27" t="s">
        <v>292</v>
      </c>
      <c r="K27" t="s">
        <v>168</v>
      </c>
      <c r="L27" t="s">
        <v>168</v>
      </c>
      <c r="M27" t="s">
        <v>292</v>
      </c>
      <c r="N27" t="s">
        <v>292</v>
      </c>
      <c r="O27" t="s">
        <v>646</v>
      </c>
      <c r="P27" t="s">
        <v>20</v>
      </c>
    </row>
    <row r="28" spans="1:16" x14ac:dyDescent="0.25">
      <c r="A28" t="s">
        <v>490</v>
      </c>
      <c r="B28" t="str">
        <f t="shared" si="0"/>
        <v>PTC2018 - Dispositivos para desligamento e proteção</v>
      </c>
      <c r="D28" t="s">
        <v>404</v>
      </c>
      <c r="E28" t="s">
        <v>406</v>
      </c>
      <c r="F28" s="8" t="s">
        <v>431</v>
      </c>
      <c r="H28" t="s">
        <v>169</v>
      </c>
      <c r="I28" t="s">
        <v>347</v>
      </c>
      <c r="J28" t="s">
        <v>293</v>
      </c>
      <c r="K28" t="s">
        <v>347</v>
      </c>
      <c r="L28" t="s">
        <v>347</v>
      </c>
      <c r="M28" t="s">
        <v>293</v>
      </c>
      <c r="N28" t="s">
        <v>293</v>
      </c>
      <c r="O28" t="s">
        <v>647</v>
      </c>
      <c r="P28" t="s">
        <v>21</v>
      </c>
    </row>
    <row r="29" spans="1:16" x14ac:dyDescent="0.25">
      <c r="A29" t="s">
        <v>491</v>
      </c>
      <c r="B29" t="str">
        <f t="shared" si="0"/>
        <v>PTC2019 - Conduta em situações de perigo e acidentes</v>
      </c>
      <c r="D29" t="s">
        <v>404</v>
      </c>
      <c r="E29" t="s">
        <v>406</v>
      </c>
      <c r="F29" s="8" t="s">
        <v>432</v>
      </c>
      <c r="H29" t="s">
        <v>170</v>
      </c>
      <c r="I29" t="s">
        <v>170</v>
      </c>
      <c r="J29" t="s">
        <v>294</v>
      </c>
      <c r="K29" t="s">
        <v>170</v>
      </c>
      <c r="L29" t="s">
        <v>355</v>
      </c>
      <c r="M29" t="s">
        <v>294</v>
      </c>
      <c r="N29" t="s">
        <v>294</v>
      </c>
      <c r="O29" t="s">
        <v>648</v>
      </c>
      <c r="P29" t="s">
        <v>22</v>
      </c>
    </row>
    <row r="30" spans="1:16" x14ac:dyDescent="0.25">
      <c r="A30" t="s">
        <v>492</v>
      </c>
      <c r="B30" t="str">
        <f t="shared" si="0"/>
        <v>PTC2020 - Estados operacionais</v>
      </c>
      <c r="D30" t="s">
        <v>404</v>
      </c>
      <c r="E30" t="s">
        <v>406</v>
      </c>
      <c r="F30" s="8" t="s">
        <v>433</v>
      </c>
      <c r="H30" t="s">
        <v>171</v>
      </c>
      <c r="I30" t="s">
        <v>171</v>
      </c>
      <c r="J30" t="s">
        <v>171</v>
      </c>
      <c r="K30" t="s">
        <v>171</v>
      </c>
      <c r="L30" t="s">
        <v>171</v>
      </c>
      <c r="M30" t="s">
        <v>381</v>
      </c>
      <c r="N30" t="s">
        <v>381</v>
      </c>
      <c r="O30" t="s">
        <v>649</v>
      </c>
      <c r="P30" t="s">
        <v>23</v>
      </c>
    </row>
    <row r="31" spans="1:16" x14ac:dyDescent="0.25">
      <c r="A31" t="s">
        <v>493</v>
      </c>
      <c r="B31" t="str">
        <f t="shared" si="0"/>
        <v>PTC2021 - Máquina desbloqueada</v>
      </c>
      <c r="D31" t="s">
        <v>404</v>
      </c>
      <c r="E31" t="s">
        <v>406</v>
      </c>
      <c r="F31" s="8" t="s">
        <v>434</v>
      </c>
      <c r="H31" t="s">
        <v>172</v>
      </c>
      <c r="I31" t="s">
        <v>172</v>
      </c>
      <c r="J31" t="s">
        <v>295</v>
      </c>
      <c r="K31" t="s">
        <v>172</v>
      </c>
      <c r="L31" t="s">
        <v>356</v>
      </c>
      <c r="M31" t="s">
        <v>172</v>
      </c>
      <c r="N31" t="s">
        <v>172</v>
      </c>
      <c r="O31" t="s">
        <v>650</v>
      </c>
      <c r="P31" t="s">
        <v>24</v>
      </c>
    </row>
    <row r="32" spans="1:16" x14ac:dyDescent="0.25">
      <c r="A32" t="s">
        <v>494</v>
      </c>
      <c r="B32" t="str">
        <f t="shared" si="0"/>
        <v>PTC2022 - Estado operacional desligado</v>
      </c>
      <c r="D32" t="s">
        <v>404</v>
      </c>
      <c r="E32" t="s">
        <v>406</v>
      </c>
      <c r="F32" s="8" t="s">
        <v>435</v>
      </c>
      <c r="H32" t="s">
        <v>173</v>
      </c>
      <c r="I32" t="s">
        <v>173</v>
      </c>
      <c r="J32" t="s">
        <v>296</v>
      </c>
      <c r="K32" t="s">
        <v>173</v>
      </c>
      <c r="L32" t="s">
        <v>357</v>
      </c>
      <c r="M32" t="s">
        <v>296</v>
      </c>
      <c r="N32" t="s">
        <v>296</v>
      </c>
      <c r="O32" t="s">
        <v>651</v>
      </c>
      <c r="P32" t="s">
        <v>25</v>
      </c>
    </row>
    <row r="33" spans="1:16" x14ac:dyDescent="0.25">
      <c r="A33" t="s">
        <v>495</v>
      </c>
      <c r="B33" t="str">
        <f t="shared" si="0"/>
        <v>PTC2023 - Estado operacional ligado</v>
      </c>
      <c r="D33" t="s">
        <v>404</v>
      </c>
      <c r="E33" t="s">
        <v>406</v>
      </c>
      <c r="F33" s="8" t="s">
        <v>436</v>
      </c>
      <c r="H33" t="s">
        <v>174</v>
      </c>
      <c r="I33" t="s">
        <v>174</v>
      </c>
      <c r="J33" t="s">
        <v>174</v>
      </c>
      <c r="K33" t="s">
        <v>174</v>
      </c>
      <c r="L33" t="s">
        <v>358</v>
      </c>
      <c r="M33" t="s">
        <v>174</v>
      </c>
      <c r="N33" t="s">
        <v>174</v>
      </c>
      <c r="O33" t="s">
        <v>652</v>
      </c>
      <c r="P33" t="s">
        <v>26</v>
      </c>
    </row>
    <row r="34" spans="1:16" x14ac:dyDescent="0.25">
      <c r="A34" t="s">
        <v>496</v>
      </c>
      <c r="B34" t="str">
        <f t="shared" si="0"/>
        <v>PTC2024 - Recipiente pressurizado</v>
      </c>
      <c r="D34" t="s">
        <v>404</v>
      </c>
      <c r="E34" t="s">
        <v>406</v>
      </c>
      <c r="F34" s="8" t="s">
        <v>437</v>
      </c>
      <c r="J34" t="s">
        <v>297</v>
      </c>
      <c r="L34" t="s">
        <v>359</v>
      </c>
      <c r="O34" t="s">
        <v>653</v>
      </c>
      <c r="P34" t="s">
        <v>27</v>
      </c>
    </row>
    <row r="35" spans="1:16" x14ac:dyDescent="0.25">
      <c r="A35" t="s">
        <v>497</v>
      </c>
      <c r="B35" t="str">
        <f t="shared" si="0"/>
        <v>PTC2025 - Riscos residuais</v>
      </c>
      <c r="D35" t="s">
        <v>404</v>
      </c>
      <c r="E35" t="s">
        <v>406</v>
      </c>
      <c r="F35" s="8" t="s">
        <v>438</v>
      </c>
      <c r="H35" t="s">
        <v>175</v>
      </c>
      <c r="I35" t="s">
        <v>175</v>
      </c>
      <c r="J35" t="s">
        <v>298</v>
      </c>
      <c r="K35" t="s">
        <v>175</v>
      </c>
      <c r="L35" t="s">
        <v>175</v>
      </c>
      <c r="M35" t="s">
        <v>298</v>
      </c>
      <c r="N35" t="s">
        <v>298</v>
      </c>
      <c r="O35" t="s">
        <v>654</v>
      </c>
      <c r="P35" t="s">
        <v>28</v>
      </c>
    </row>
    <row r="36" spans="1:16" x14ac:dyDescent="0.25">
      <c r="A36" t="s">
        <v>498</v>
      </c>
      <c r="B36" t="str">
        <f t="shared" si="0"/>
        <v>PTC3 - Estrutura e funcionamento</v>
      </c>
      <c r="D36" t="s">
        <v>404</v>
      </c>
      <c r="E36" t="s">
        <v>407</v>
      </c>
      <c r="H36" s="2" t="s">
        <v>176</v>
      </c>
      <c r="I36" s="2" t="s">
        <v>176</v>
      </c>
      <c r="J36" s="2" t="s">
        <v>176</v>
      </c>
      <c r="K36" s="2" t="s">
        <v>176</v>
      </c>
      <c r="L36" s="2" t="s">
        <v>176</v>
      </c>
      <c r="M36" s="2" t="s">
        <v>176</v>
      </c>
      <c r="N36" s="2" t="s">
        <v>176</v>
      </c>
      <c r="O36" t="s">
        <v>176</v>
      </c>
      <c r="P36" t="s">
        <v>29</v>
      </c>
    </row>
    <row r="37" spans="1:16" x14ac:dyDescent="0.25">
      <c r="A37" t="s">
        <v>499</v>
      </c>
      <c r="B37" t="str">
        <f t="shared" si="0"/>
        <v>PTC3001 - Sistema de limpeza</v>
      </c>
      <c r="D37" t="s">
        <v>404</v>
      </c>
      <c r="E37" t="s">
        <v>407</v>
      </c>
      <c r="F37" s="8" t="s">
        <v>414</v>
      </c>
      <c r="H37" t="s">
        <v>177</v>
      </c>
      <c r="I37" t="s">
        <v>177</v>
      </c>
      <c r="J37" t="s">
        <v>177</v>
      </c>
      <c r="K37" t="s">
        <v>177</v>
      </c>
      <c r="L37" t="s">
        <v>177</v>
      </c>
      <c r="M37" t="s">
        <v>177</v>
      </c>
      <c r="N37" t="s">
        <v>177</v>
      </c>
      <c r="O37" t="s">
        <v>655</v>
      </c>
      <c r="P37" t="s">
        <v>30</v>
      </c>
    </row>
    <row r="38" spans="1:16" x14ac:dyDescent="0.25">
      <c r="A38" t="s">
        <v>500</v>
      </c>
      <c r="B38" t="str">
        <f t="shared" si="0"/>
        <v>PTC3002 - Tanques (área CR72, CR73, CR74, CR75)</v>
      </c>
      <c r="D38" t="s">
        <v>404</v>
      </c>
      <c r="E38" t="s">
        <v>407</v>
      </c>
      <c r="F38" s="8" t="s">
        <v>415</v>
      </c>
      <c r="H38" t="s">
        <v>178</v>
      </c>
      <c r="I38" t="s">
        <v>178</v>
      </c>
      <c r="J38" t="s">
        <v>270</v>
      </c>
      <c r="K38" t="s">
        <v>178</v>
      </c>
      <c r="L38" t="s">
        <v>178</v>
      </c>
      <c r="M38" t="s">
        <v>382</v>
      </c>
      <c r="N38" t="s">
        <v>382</v>
      </c>
      <c r="O38" t="s">
        <v>656</v>
      </c>
      <c r="P38" t="s">
        <v>31</v>
      </c>
    </row>
    <row r="39" spans="1:16" x14ac:dyDescent="0.25">
      <c r="A39" t="s">
        <v>501</v>
      </c>
      <c r="B39" t="str">
        <f t="shared" si="0"/>
        <v>PTC3003 - Estação de dosagem de concentrado de produto de limpeza</v>
      </c>
      <c r="D39" t="s">
        <v>404</v>
      </c>
      <c r="E39" t="s">
        <v>407</v>
      </c>
      <c r="F39" s="8" t="s">
        <v>416</v>
      </c>
      <c r="H39" t="s">
        <v>179</v>
      </c>
      <c r="I39" t="s">
        <v>179</v>
      </c>
      <c r="J39" t="s">
        <v>179</v>
      </c>
      <c r="K39" t="s">
        <v>179</v>
      </c>
      <c r="L39" t="s">
        <v>179</v>
      </c>
      <c r="M39" t="s">
        <v>179</v>
      </c>
      <c r="N39" t="s">
        <v>179</v>
      </c>
      <c r="O39" t="s">
        <v>657</v>
      </c>
      <c r="P39" t="s">
        <v>32</v>
      </c>
    </row>
    <row r="40" spans="1:16" x14ac:dyDescent="0.25">
      <c r="A40" t="s">
        <v>502</v>
      </c>
      <c r="B40" t="str">
        <f t="shared" si="0"/>
        <v>PTC3004 - Alimentação área CR69 e CR70</v>
      </c>
      <c r="D40" t="s">
        <v>404</v>
      </c>
      <c r="E40" t="s">
        <v>407</v>
      </c>
      <c r="F40" s="8" t="s">
        <v>417</v>
      </c>
      <c r="M40" t="s">
        <v>383</v>
      </c>
      <c r="N40" t="s">
        <v>383</v>
      </c>
      <c r="O40" t="s">
        <v>658</v>
      </c>
      <c r="P40" t="s">
        <v>129</v>
      </c>
    </row>
    <row r="41" spans="1:16" x14ac:dyDescent="0.25">
      <c r="A41" s="9" t="s">
        <v>764</v>
      </c>
      <c r="B41" s="9" t="str">
        <f t="shared" si="0"/>
        <v>PTC3005 - Detergente e circuito de vapor (CR70 área)</v>
      </c>
      <c r="D41" t="s">
        <v>404</v>
      </c>
      <c r="E41" t="s">
        <v>407</v>
      </c>
      <c r="F41" s="8" t="s">
        <v>418</v>
      </c>
      <c r="O41" t="s">
        <v>659</v>
      </c>
      <c r="P41" t="s">
        <v>33</v>
      </c>
    </row>
    <row r="42" spans="1:16" x14ac:dyDescent="0.25">
      <c r="A42" s="9" t="s">
        <v>765</v>
      </c>
      <c r="B42" s="9" t="str">
        <f t="shared" si="0"/>
        <v>PTC3006 - Detergente e circuito de vapor (área CR69)</v>
      </c>
      <c r="D42" t="s">
        <v>404</v>
      </c>
      <c r="E42" t="s">
        <v>407</v>
      </c>
      <c r="F42" s="8" t="s">
        <v>419</v>
      </c>
      <c r="O42" t="s">
        <v>660</v>
      </c>
      <c r="P42" t="s">
        <v>34</v>
      </c>
    </row>
    <row r="43" spans="1:16" x14ac:dyDescent="0.25">
      <c r="A43" s="9" t="s">
        <v>766</v>
      </c>
      <c r="B43" s="9" t="str">
        <f t="shared" si="0"/>
        <v>PTC3007 - Aquecedor de água fresca (área CR84)</v>
      </c>
      <c r="D43" t="s">
        <v>404</v>
      </c>
      <c r="E43" t="s">
        <v>407</v>
      </c>
      <c r="F43" s="8" t="s">
        <v>420</v>
      </c>
      <c r="O43" t="s">
        <v>661</v>
      </c>
      <c r="P43" t="s">
        <v>35</v>
      </c>
    </row>
    <row r="44" spans="1:16" x14ac:dyDescent="0.25">
      <c r="A44" s="9" t="s">
        <v>767</v>
      </c>
      <c r="B44" s="9" t="str">
        <f t="shared" si="0"/>
        <v>PTC3008 - Aquecedor de água fresca (área CR83)</v>
      </c>
      <c r="D44" t="s">
        <v>404</v>
      </c>
      <c r="E44" t="s">
        <v>407</v>
      </c>
      <c r="F44" s="8" t="s">
        <v>421</v>
      </c>
      <c r="O44" t="s">
        <v>662</v>
      </c>
      <c r="P44" t="s">
        <v>36</v>
      </c>
    </row>
    <row r="45" spans="1:16" x14ac:dyDescent="0.25">
      <c r="A45" t="s">
        <v>503</v>
      </c>
      <c r="B45" t="str">
        <f t="shared" si="0"/>
        <v>PTC3009 - Tanque de produtos de limpeza (Área CR70)</v>
      </c>
      <c r="D45" t="s">
        <v>404</v>
      </c>
      <c r="E45" t="s">
        <v>407</v>
      </c>
      <c r="F45" s="8" t="s">
        <v>422</v>
      </c>
      <c r="H45" t="s">
        <v>180</v>
      </c>
      <c r="I45" t="s">
        <v>180</v>
      </c>
      <c r="J45" t="s">
        <v>299</v>
      </c>
      <c r="K45" t="s">
        <v>180</v>
      </c>
      <c r="L45" t="s">
        <v>360</v>
      </c>
      <c r="O45" t="s">
        <v>663</v>
      </c>
      <c r="P45" t="s">
        <v>137</v>
      </c>
    </row>
    <row r="46" spans="1:16" x14ac:dyDescent="0.25">
      <c r="A46" s="9" t="s">
        <v>780</v>
      </c>
      <c r="B46" s="9" t="str">
        <f t="shared" si="0"/>
        <v>PTC3010 - circuito de água quente (CR70 área)</v>
      </c>
      <c r="D46" t="s">
        <v>404</v>
      </c>
      <c r="E46" t="s">
        <v>407</v>
      </c>
      <c r="F46" s="8" t="s">
        <v>423</v>
      </c>
      <c r="O46" t="s">
        <v>664</v>
      </c>
      <c r="P46" t="s">
        <v>394</v>
      </c>
    </row>
    <row r="47" spans="1:16" x14ac:dyDescent="0.25">
      <c r="A47" t="s">
        <v>504</v>
      </c>
      <c r="B47" t="str">
        <f t="shared" si="0"/>
        <v>PTC3011 - Circuito de vapor (área CR70)</v>
      </c>
      <c r="D47" t="s">
        <v>404</v>
      </c>
      <c r="E47" t="s">
        <v>407</v>
      </c>
      <c r="F47" s="8" t="s">
        <v>424</v>
      </c>
      <c r="H47" t="s">
        <v>181</v>
      </c>
      <c r="I47" t="s">
        <v>181</v>
      </c>
      <c r="J47" t="s">
        <v>181</v>
      </c>
      <c r="K47" t="s">
        <v>181</v>
      </c>
      <c r="L47" t="s">
        <v>181</v>
      </c>
      <c r="O47" t="s">
        <v>665</v>
      </c>
      <c r="P47" t="s">
        <v>138</v>
      </c>
    </row>
    <row r="48" spans="1:16" x14ac:dyDescent="0.25">
      <c r="A48" t="s">
        <v>505</v>
      </c>
      <c r="B48" t="str">
        <f t="shared" si="0"/>
        <v>PTC3012 - Distribuidor (área CR70)</v>
      </c>
      <c r="D48" t="s">
        <v>404</v>
      </c>
      <c r="E48" t="s">
        <v>407</v>
      </c>
      <c r="F48" s="8" t="s">
        <v>425</v>
      </c>
      <c r="J48" t="s">
        <v>271</v>
      </c>
      <c r="O48" t="s">
        <v>666</v>
      </c>
      <c r="P48" t="s">
        <v>139</v>
      </c>
    </row>
    <row r="49" spans="1:16" x14ac:dyDescent="0.25">
      <c r="A49" s="9" t="s">
        <v>768</v>
      </c>
      <c r="B49" s="9" t="str">
        <f t="shared" si="0"/>
        <v>PTC3013 - Distribuidor na alimentação primária para o PET máquina de enchimento (CR70 área)</v>
      </c>
      <c r="D49" t="s">
        <v>404</v>
      </c>
      <c r="E49" t="s">
        <v>407</v>
      </c>
      <c r="F49" s="8" t="s">
        <v>426</v>
      </c>
      <c r="O49" t="s">
        <v>667</v>
      </c>
      <c r="P49" t="s">
        <v>395</v>
      </c>
    </row>
    <row r="50" spans="1:16" x14ac:dyDescent="0.25">
      <c r="A50" t="s">
        <v>506</v>
      </c>
      <c r="B50" t="str">
        <f t="shared" si="0"/>
        <v>PTC3014 - Alimentação de água quente ao enxágue da tampadora</v>
      </c>
      <c r="D50" t="s">
        <v>404</v>
      </c>
      <c r="E50" t="s">
        <v>407</v>
      </c>
      <c r="F50" s="8" t="s">
        <v>427</v>
      </c>
      <c r="L50" t="s">
        <v>361</v>
      </c>
      <c r="O50" t="s">
        <v>274</v>
      </c>
      <c r="P50" t="s">
        <v>274</v>
      </c>
    </row>
    <row r="51" spans="1:16" x14ac:dyDescent="0.25">
      <c r="A51" t="s">
        <v>507</v>
      </c>
      <c r="B51" t="str">
        <f t="shared" si="0"/>
        <v>PTC3015 - Abastecimento de ar de controle</v>
      </c>
      <c r="D51" t="s">
        <v>404</v>
      </c>
      <c r="E51" t="s">
        <v>407</v>
      </c>
      <c r="F51" s="8" t="s">
        <v>428</v>
      </c>
      <c r="H51" t="s">
        <v>182</v>
      </c>
      <c r="I51" t="s">
        <v>182</v>
      </c>
      <c r="J51" t="s">
        <v>300</v>
      </c>
      <c r="K51" t="s">
        <v>182</v>
      </c>
      <c r="L51" t="s">
        <v>362</v>
      </c>
      <c r="M51" t="s">
        <v>300</v>
      </c>
      <c r="N51" t="s">
        <v>300</v>
      </c>
      <c r="O51" t="s">
        <v>668</v>
      </c>
      <c r="P51" t="s">
        <v>37</v>
      </c>
    </row>
    <row r="52" spans="1:16" x14ac:dyDescent="0.25">
      <c r="A52" s="9" t="s">
        <v>781</v>
      </c>
      <c r="B52" s="9" t="str">
        <f t="shared" si="0"/>
        <v>PTC3016 - medição do consumo</v>
      </c>
      <c r="D52" t="s">
        <v>404</v>
      </c>
      <c r="E52" t="s">
        <v>407</v>
      </c>
      <c r="F52" s="8" t="s">
        <v>429</v>
      </c>
      <c r="O52" t="s">
        <v>669</v>
      </c>
      <c r="P52" t="s">
        <v>399</v>
      </c>
    </row>
    <row r="53" spans="1:16" x14ac:dyDescent="0.25">
      <c r="A53" s="9" t="s">
        <v>799</v>
      </c>
      <c r="B53" s="9" t="str">
        <f t="shared" si="0"/>
        <v>PTC3017 - Medidor de vazão para água doce e água de serviço</v>
      </c>
      <c r="D53" t="s">
        <v>404</v>
      </c>
      <c r="E53" t="s">
        <v>407</v>
      </c>
      <c r="F53" s="8" t="s">
        <v>430</v>
      </c>
      <c r="O53" t="s">
        <v>670</v>
      </c>
      <c r="P53" t="s">
        <v>400</v>
      </c>
    </row>
    <row r="54" spans="1:16" x14ac:dyDescent="0.25">
      <c r="A54" s="9" t="s">
        <v>769</v>
      </c>
      <c r="B54" s="9" t="str">
        <f t="shared" si="0"/>
        <v>PTC3018 - Medidor de fluxo de vapor</v>
      </c>
      <c r="D54" t="s">
        <v>404</v>
      </c>
      <c r="E54" t="s">
        <v>407</v>
      </c>
      <c r="F54" s="8" t="s">
        <v>431</v>
      </c>
      <c r="O54" t="s">
        <v>671</v>
      </c>
      <c r="P54" t="s">
        <v>376</v>
      </c>
    </row>
    <row r="55" spans="1:16" x14ac:dyDescent="0.25">
      <c r="A55" t="s">
        <v>508</v>
      </c>
      <c r="B55" t="str">
        <f t="shared" si="0"/>
        <v>PTC3019 - Bomba de retorno (área CR79)</v>
      </c>
      <c r="D55" t="s">
        <v>404</v>
      </c>
      <c r="E55" t="s">
        <v>407</v>
      </c>
      <c r="F55" s="8" t="s">
        <v>432</v>
      </c>
      <c r="J55" t="s">
        <v>301</v>
      </c>
      <c r="O55" t="s">
        <v>301</v>
      </c>
      <c r="P55" t="s">
        <v>301</v>
      </c>
    </row>
    <row r="56" spans="1:16" x14ac:dyDescent="0.25">
      <c r="A56" t="s">
        <v>509</v>
      </c>
      <c r="B56" t="str">
        <f t="shared" si="0"/>
        <v>PTC3020 - Dispositivos de aviso</v>
      </c>
      <c r="D56" t="s">
        <v>404</v>
      </c>
      <c r="E56" t="s">
        <v>407</v>
      </c>
      <c r="F56" s="8" t="s">
        <v>433</v>
      </c>
      <c r="H56" t="s">
        <v>183</v>
      </c>
      <c r="I56" t="s">
        <v>183</v>
      </c>
      <c r="J56" t="s">
        <v>183</v>
      </c>
      <c r="K56" t="s">
        <v>183</v>
      </c>
      <c r="L56" t="s">
        <v>183</v>
      </c>
      <c r="M56" t="s">
        <v>183</v>
      </c>
      <c r="N56" t="s">
        <v>183</v>
      </c>
      <c r="O56" t="s">
        <v>672</v>
      </c>
      <c r="P56" t="s">
        <v>38</v>
      </c>
    </row>
    <row r="57" spans="1:16" x14ac:dyDescent="0.25">
      <c r="A57" t="s">
        <v>510</v>
      </c>
      <c r="B57" t="str">
        <f t="shared" si="0"/>
        <v>PTC3021 - Dispositivos de comando</v>
      </c>
      <c r="D57" t="s">
        <v>404</v>
      </c>
      <c r="E57" t="s">
        <v>407</v>
      </c>
      <c r="F57" s="8" t="s">
        <v>434</v>
      </c>
      <c r="H57" t="s">
        <v>184</v>
      </c>
      <c r="I57" t="s">
        <v>184</v>
      </c>
      <c r="J57" t="s">
        <v>184</v>
      </c>
      <c r="K57" t="s">
        <v>184</v>
      </c>
      <c r="L57" t="s">
        <v>184</v>
      </c>
      <c r="M57" t="s">
        <v>184</v>
      </c>
      <c r="N57" t="s">
        <v>184</v>
      </c>
      <c r="O57" t="s">
        <v>673</v>
      </c>
      <c r="P57" t="s">
        <v>39</v>
      </c>
    </row>
    <row r="58" spans="1:16" x14ac:dyDescent="0.25">
      <c r="A58" t="s">
        <v>511</v>
      </c>
      <c r="B58" t="str">
        <f t="shared" si="0"/>
        <v>PTC3022 - Console de operação</v>
      </c>
      <c r="D58" t="s">
        <v>404</v>
      </c>
      <c r="E58" t="s">
        <v>407</v>
      </c>
      <c r="F58" s="8" t="s">
        <v>435</v>
      </c>
      <c r="H58" t="s">
        <v>185</v>
      </c>
      <c r="I58" t="s">
        <v>348</v>
      </c>
      <c r="K58" t="s">
        <v>348</v>
      </c>
      <c r="L58" t="s">
        <v>363</v>
      </c>
      <c r="M58" t="s">
        <v>309</v>
      </c>
      <c r="N58" t="s">
        <v>309</v>
      </c>
      <c r="O58" t="s">
        <v>674</v>
      </c>
      <c r="P58" t="s">
        <v>61</v>
      </c>
    </row>
    <row r="59" spans="1:16" x14ac:dyDescent="0.25">
      <c r="A59" t="s">
        <v>512</v>
      </c>
      <c r="B59" t="str">
        <f t="shared" si="0"/>
        <v>PTC3023 - Interface gráfica do usuário</v>
      </c>
      <c r="D59" t="s">
        <v>404</v>
      </c>
      <c r="E59" t="s">
        <v>407</v>
      </c>
      <c r="F59" s="8" t="s">
        <v>436</v>
      </c>
      <c r="H59" t="s">
        <v>186</v>
      </c>
      <c r="I59" t="s">
        <v>186</v>
      </c>
      <c r="K59" t="s">
        <v>186</v>
      </c>
      <c r="L59" t="s">
        <v>186</v>
      </c>
      <c r="M59" t="s">
        <v>384</v>
      </c>
      <c r="N59" t="s">
        <v>384</v>
      </c>
      <c r="O59" t="s">
        <v>186</v>
      </c>
      <c r="P59" t="s">
        <v>130</v>
      </c>
    </row>
    <row r="60" spans="1:16" x14ac:dyDescent="0.25">
      <c r="A60" t="s">
        <v>513</v>
      </c>
      <c r="B60" t="str">
        <f t="shared" si="0"/>
        <v>PTC3024 - Tela principal</v>
      </c>
      <c r="D60" t="s">
        <v>404</v>
      </c>
      <c r="E60" t="s">
        <v>407</v>
      </c>
      <c r="F60" s="8" t="s">
        <v>437</v>
      </c>
      <c r="H60" t="s">
        <v>187</v>
      </c>
      <c r="I60" t="s">
        <v>187</v>
      </c>
      <c r="K60" t="s">
        <v>187</v>
      </c>
      <c r="L60" t="s">
        <v>187</v>
      </c>
      <c r="M60" t="s">
        <v>385</v>
      </c>
      <c r="N60" t="s">
        <v>385</v>
      </c>
      <c r="O60" t="s">
        <v>385</v>
      </c>
      <c r="P60" t="s">
        <v>131</v>
      </c>
    </row>
    <row r="61" spans="1:16" x14ac:dyDescent="0.25">
      <c r="A61" t="s">
        <v>514</v>
      </c>
      <c r="B61" t="str">
        <f t="shared" si="0"/>
        <v>PTC3025 - Favoritos</v>
      </c>
      <c r="D61" t="s">
        <v>404</v>
      </c>
      <c r="E61" t="s">
        <v>407</v>
      </c>
      <c r="F61" s="8" t="s">
        <v>438</v>
      </c>
      <c r="H61" t="s">
        <v>188</v>
      </c>
      <c r="I61" t="s">
        <v>188</v>
      </c>
      <c r="K61" t="s">
        <v>188</v>
      </c>
      <c r="L61" t="s">
        <v>188</v>
      </c>
      <c r="M61" t="s">
        <v>188</v>
      </c>
      <c r="N61" t="s">
        <v>188</v>
      </c>
      <c r="O61" t="s">
        <v>675</v>
      </c>
      <c r="P61" t="s">
        <v>132</v>
      </c>
    </row>
    <row r="62" spans="1:16" x14ac:dyDescent="0.25">
      <c r="A62" t="s">
        <v>515</v>
      </c>
      <c r="B62" t="str">
        <f t="shared" si="0"/>
        <v>PTC3026 - Logon e logoff</v>
      </c>
      <c r="D62" t="s">
        <v>404</v>
      </c>
      <c r="E62" t="s">
        <v>407</v>
      </c>
      <c r="F62" s="8" t="s">
        <v>439</v>
      </c>
      <c r="H62" t="s">
        <v>189</v>
      </c>
      <c r="I62" t="s">
        <v>189</v>
      </c>
      <c r="K62" t="s">
        <v>189</v>
      </c>
      <c r="L62" t="s">
        <v>364</v>
      </c>
      <c r="M62" t="s">
        <v>386</v>
      </c>
      <c r="N62" t="s">
        <v>386</v>
      </c>
      <c r="O62" t="s">
        <v>676</v>
      </c>
      <c r="P62" t="s">
        <v>133</v>
      </c>
    </row>
    <row r="63" spans="1:16" x14ac:dyDescent="0.25">
      <c r="A63" t="s">
        <v>516</v>
      </c>
      <c r="B63" t="str">
        <f t="shared" si="0"/>
        <v>PTC3027 - Menu principal</v>
      </c>
      <c r="D63" t="s">
        <v>404</v>
      </c>
      <c r="E63" t="s">
        <v>407</v>
      </c>
      <c r="F63" s="8" t="s">
        <v>440</v>
      </c>
      <c r="H63" t="s">
        <v>190</v>
      </c>
      <c r="I63" t="s">
        <v>190</v>
      </c>
      <c r="K63" t="s">
        <v>190</v>
      </c>
      <c r="L63" t="s">
        <v>190</v>
      </c>
      <c r="M63" t="s">
        <v>190</v>
      </c>
      <c r="N63" t="s">
        <v>190</v>
      </c>
      <c r="O63" t="s">
        <v>190</v>
      </c>
      <c r="P63" t="s">
        <v>134</v>
      </c>
    </row>
    <row r="64" spans="1:16" x14ac:dyDescent="0.25">
      <c r="A64" t="s">
        <v>517</v>
      </c>
      <c r="B64" t="str">
        <f t="shared" si="0"/>
        <v>PTC3028 - Sistema de limpeza</v>
      </c>
      <c r="D64" t="s">
        <v>404</v>
      </c>
      <c r="E64" t="s">
        <v>407</v>
      </c>
      <c r="F64" s="8" t="s">
        <v>441</v>
      </c>
      <c r="H64" t="s">
        <v>177</v>
      </c>
      <c r="I64" t="s">
        <v>177</v>
      </c>
      <c r="K64" t="s">
        <v>177</v>
      </c>
      <c r="L64" t="s">
        <v>177</v>
      </c>
      <c r="M64" t="s">
        <v>177</v>
      </c>
      <c r="N64" t="s">
        <v>177</v>
      </c>
      <c r="O64" t="s">
        <v>655</v>
      </c>
      <c r="P64" t="s">
        <v>30</v>
      </c>
    </row>
    <row r="65" spans="1:16" x14ac:dyDescent="0.25">
      <c r="A65" t="s">
        <v>518</v>
      </c>
      <c r="B65" t="str">
        <f t="shared" si="0"/>
        <v>PTC3029 - Posto de trabalho</v>
      </c>
      <c r="D65" t="s">
        <v>404</v>
      </c>
      <c r="E65" t="s">
        <v>407</v>
      </c>
      <c r="F65" s="8" t="s">
        <v>442</v>
      </c>
      <c r="H65" t="s">
        <v>191</v>
      </c>
      <c r="I65" t="s">
        <v>191</v>
      </c>
      <c r="J65" t="s">
        <v>191</v>
      </c>
      <c r="K65" t="s">
        <v>191</v>
      </c>
      <c r="L65" t="s">
        <v>191</v>
      </c>
      <c r="M65" t="s">
        <v>191</v>
      </c>
      <c r="N65" t="s">
        <v>191</v>
      </c>
      <c r="O65" t="s">
        <v>191</v>
      </c>
      <c r="P65" t="s">
        <v>40</v>
      </c>
    </row>
    <row r="66" spans="1:16" x14ac:dyDescent="0.25">
      <c r="A66" s="9" t="s">
        <v>782</v>
      </c>
      <c r="B66" s="9" t="str">
        <f t="shared" si="0"/>
        <v>PTC3030 - O acesso remoto para o Serviço de Diagnóstico Remoto (Redis)</v>
      </c>
      <c r="D66" t="s">
        <v>404</v>
      </c>
      <c r="E66" t="s">
        <v>407</v>
      </c>
      <c r="F66" s="8" t="s">
        <v>443</v>
      </c>
      <c r="O66" t="s">
        <v>677</v>
      </c>
      <c r="P66" t="s">
        <v>140</v>
      </c>
    </row>
    <row r="67" spans="1:16" x14ac:dyDescent="0.25">
      <c r="A67" t="s">
        <v>519</v>
      </c>
      <c r="B67" t="str">
        <f t="shared" ref="B67:B130" si="1">IF(H67="",IF(I67="",IF(J67="",IF(K67="",IF(L67="",IF(M67="",IF(N67="",IF(O67="","",_xlfn.CONCAT(D67,E67,F67," - ",O67)),_xlfn.CONCAT(D67,E67,F67," - ",N67)),_xlfn.CONCAT(D67,E67,F67," - ",M67)),_xlfn.CONCAT(D67,E67,F67," - ",L67)),_xlfn.CONCAT(D67,E67,F67," - ",K67)),_xlfn.CONCAT(D67,E67,F67," - ",J67)),_xlfn.CONCAT(D67,E67,F67," - ",I67)),_xlfn.CONCAT(D67,E67,F67," - ",H67))</f>
        <v>PTC3031 - Tecnologia de medição, controle e regulagem</v>
      </c>
      <c r="D67" t="s">
        <v>404</v>
      </c>
      <c r="E67" t="s">
        <v>407</v>
      </c>
      <c r="F67" s="8" t="s">
        <v>444</v>
      </c>
      <c r="H67" t="s">
        <v>192</v>
      </c>
      <c r="I67" t="s">
        <v>192</v>
      </c>
      <c r="J67" t="s">
        <v>302</v>
      </c>
      <c r="K67" t="s">
        <v>192</v>
      </c>
      <c r="L67" t="s">
        <v>192</v>
      </c>
      <c r="M67" t="s">
        <v>387</v>
      </c>
      <c r="N67" t="s">
        <v>387</v>
      </c>
      <c r="O67" t="s">
        <v>678</v>
      </c>
      <c r="P67" t="s">
        <v>41</v>
      </c>
    </row>
    <row r="68" spans="1:16" x14ac:dyDescent="0.25">
      <c r="A68" t="s">
        <v>520</v>
      </c>
      <c r="B68" t="str">
        <f t="shared" si="1"/>
        <v>PTC3032 - Armário de distribuição</v>
      </c>
      <c r="D68" t="s">
        <v>404</v>
      </c>
      <c r="E68" t="s">
        <v>407</v>
      </c>
      <c r="F68" s="8" t="s">
        <v>445</v>
      </c>
      <c r="H68" t="s">
        <v>193</v>
      </c>
      <c r="I68" t="s">
        <v>193</v>
      </c>
      <c r="J68" t="s">
        <v>193</v>
      </c>
      <c r="K68" t="s">
        <v>193</v>
      </c>
      <c r="L68" t="s">
        <v>193</v>
      </c>
      <c r="M68" t="s">
        <v>193</v>
      </c>
      <c r="N68" t="s">
        <v>193</v>
      </c>
      <c r="O68" t="s">
        <v>679</v>
      </c>
      <c r="P68" t="s">
        <v>42</v>
      </c>
    </row>
    <row r="69" spans="1:16" x14ac:dyDescent="0.25">
      <c r="A69" t="s">
        <v>521</v>
      </c>
      <c r="B69" t="str">
        <f t="shared" si="1"/>
        <v>PTC3033 - Comando da máquina</v>
      </c>
      <c r="D69" t="s">
        <v>404</v>
      </c>
      <c r="E69" t="s">
        <v>407</v>
      </c>
      <c r="F69" s="8" t="s">
        <v>446</v>
      </c>
      <c r="H69" t="s">
        <v>194</v>
      </c>
      <c r="I69" t="s">
        <v>194</v>
      </c>
      <c r="J69" t="s">
        <v>194</v>
      </c>
      <c r="K69" t="s">
        <v>194</v>
      </c>
      <c r="L69" t="s">
        <v>194</v>
      </c>
      <c r="M69" t="s">
        <v>194</v>
      </c>
      <c r="N69" t="s">
        <v>194</v>
      </c>
      <c r="O69" t="s">
        <v>680</v>
      </c>
      <c r="P69" t="s">
        <v>43</v>
      </c>
    </row>
    <row r="70" spans="1:16" x14ac:dyDescent="0.25">
      <c r="A70" t="s">
        <v>522</v>
      </c>
      <c r="B70" t="str">
        <f t="shared" si="1"/>
        <v>PTC3034 - Comando da limpeza</v>
      </c>
      <c r="D70" t="s">
        <v>404</v>
      </c>
      <c r="E70" t="s">
        <v>407</v>
      </c>
      <c r="F70" s="8" t="s">
        <v>447</v>
      </c>
      <c r="H70" t="s">
        <v>195</v>
      </c>
      <c r="I70" t="s">
        <v>195</v>
      </c>
      <c r="J70" t="s">
        <v>195</v>
      </c>
      <c r="K70" t="s">
        <v>195</v>
      </c>
      <c r="L70" t="s">
        <v>195</v>
      </c>
      <c r="M70" t="s">
        <v>195</v>
      </c>
      <c r="N70" t="s">
        <v>195</v>
      </c>
      <c r="O70" t="s">
        <v>681</v>
      </c>
      <c r="P70" t="s">
        <v>44</v>
      </c>
    </row>
    <row r="71" spans="1:16" x14ac:dyDescent="0.25">
      <c r="A71" t="s">
        <v>523</v>
      </c>
      <c r="B71" t="str">
        <f t="shared" si="1"/>
        <v>PTC3035 - Sistema pneumático</v>
      </c>
      <c r="D71" t="s">
        <v>404</v>
      </c>
      <c r="E71" t="s">
        <v>407</v>
      </c>
      <c r="F71" s="8" t="s">
        <v>448</v>
      </c>
      <c r="H71" t="s">
        <v>196</v>
      </c>
      <c r="I71" t="s">
        <v>196</v>
      </c>
      <c r="J71" t="s">
        <v>196</v>
      </c>
      <c r="K71" t="s">
        <v>196</v>
      </c>
      <c r="L71" t="s">
        <v>196</v>
      </c>
      <c r="M71" t="s">
        <v>196</v>
      </c>
      <c r="N71" t="s">
        <v>196</v>
      </c>
      <c r="O71" t="s">
        <v>682</v>
      </c>
      <c r="P71" t="s">
        <v>45</v>
      </c>
    </row>
    <row r="72" spans="1:16" x14ac:dyDescent="0.25">
      <c r="A72" t="s">
        <v>524</v>
      </c>
      <c r="B72" t="str">
        <f t="shared" si="1"/>
        <v>PTC3036 - Parte elétrica</v>
      </c>
      <c r="D72" t="s">
        <v>404</v>
      </c>
      <c r="E72" t="s">
        <v>407</v>
      </c>
      <c r="F72" s="8" t="s">
        <v>449</v>
      </c>
      <c r="H72" t="s">
        <v>197</v>
      </c>
      <c r="I72" t="s">
        <v>197</v>
      </c>
      <c r="J72" t="s">
        <v>303</v>
      </c>
      <c r="K72" t="s">
        <v>197</v>
      </c>
      <c r="L72" t="s">
        <v>303</v>
      </c>
      <c r="M72" t="s">
        <v>303</v>
      </c>
      <c r="N72" t="s">
        <v>303</v>
      </c>
      <c r="O72" t="s">
        <v>303</v>
      </c>
      <c r="P72" t="s">
        <v>46</v>
      </c>
    </row>
    <row r="73" spans="1:16" x14ac:dyDescent="0.25">
      <c r="A73" t="s">
        <v>525</v>
      </c>
      <c r="B73" t="str">
        <f t="shared" si="1"/>
        <v>PTC4 - Montagem</v>
      </c>
      <c r="D73" t="s">
        <v>404</v>
      </c>
      <c r="E73" t="s">
        <v>408</v>
      </c>
      <c r="H73" s="2" t="s">
        <v>198</v>
      </c>
      <c r="I73" s="2" t="s">
        <v>198</v>
      </c>
      <c r="J73" s="2" t="s">
        <v>198</v>
      </c>
      <c r="K73" s="2" t="s">
        <v>198</v>
      </c>
      <c r="L73" s="2" t="s">
        <v>198</v>
      </c>
      <c r="M73" s="2" t="s">
        <v>198</v>
      </c>
      <c r="N73" s="2" t="s">
        <v>198</v>
      </c>
      <c r="O73" t="s">
        <v>198</v>
      </c>
      <c r="P73" t="s">
        <v>47</v>
      </c>
    </row>
    <row r="74" spans="1:16" x14ac:dyDescent="0.25">
      <c r="A74" t="s">
        <v>526</v>
      </c>
      <c r="B74" t="str">
        <f t="shared" si="1"/>
        <v>PTC4001 - Avisos de segurança</v>
      </c>
      <c r="D74" t="s">
        <v>404</v>
      </c>
      <c r="E74" t="s">
        <v>408</v>
      </c>
      <c r="F74" s="8" t="s">
        <v>414</v>
      </c>
      <c r="H74" t="s">
        <v>199</v>
      </c>
      <c r="I74" t="s">
        <v>199</v>
      </c>
      <c r="J74" t="s">
        <v>304</v>
      </c>
      <c r="K74" t="s">
        <v>199</v>
      </c>
      <c r="L74" t="s">
        <v>199</v>
      </c>
      <c r="M74" t="s">
        <v>304</v>
      </c>
      <c r="N74" t="s">
        <v>304</v>
      </c>
      <c r="O74" t="s">
        <v>683</v>
      </c>
      <c r="P74" t="s">
        <v>48</v>
      </c>
    </row>
    <row r="75" spans="1:16" x14ac:dyDescent="0.25">
      <c r="A75" t="s">
        <v>527</v>
      </c>
      <c r="B75" t="str">
        <f t="shared" si="1"/>
        <v>PTC4002 - Verificar o volume de fornecimento e executar a inspeção de entrega</v>
      </c>
      <c r="D75" t="s">
        <v>404</v>
      </c>
      <c r="E75" t="s">
        <v>408</v>
      </c>
      <c r="F75" s="8" t="s">
        <v>415</v>
      </c>
      <c r="H75" t="s">
        <v>200</v>
      </c>
      <c r="I75" t="s">
        <v>200</v>
      </c>
      <c r="J75" t="s">
        <v>200</v>
      </c>
      <c r="K75" t="s">
        <v>200</v>
      </c>
      <c r="L75" t="s">
        <v>200</v>
      </c>
      <c r="M75" t="s">
        <v>200</v>
      </c>
      <c r="N75" t="s">
        <v>200</v>
      </c>
      <c r="O75" t="s">
        <v>684</v>
      </c>
      <c r="P75" t="s">
        <v>49</v>
      </c>
    </row>
    <row r="76" spans="1:16" x14ac:dyDescent="0.25">
      <c r="A76" t="s">
        <v>528</v>
      </c>
      <c r="B76" t="str">
        <f t="shared" si="1"/>
        <v>PTC4003 - Transporte</v>
      </c>
      <c r="D76" t="s">
        <v>404</v>
      </c>
      <c r="E76" t="s">
        <v>408</v>
      </c>
      <c r="F76" s="8" t="s">
        <v>416</v>
      </c>
      <c r="H76" t="s">
        <v>201</v>
      </c>
      <c r="I76" t="s">
        <v>201</v>
      </c>
      <c r="J76" t="s">
        <v>272</v>
      </c>
      <c r="K76" t="s">
        <v>201</v>
      </c>
      <c r="L76" t="s">
        <v>201</v>
      </c>
      <c r="M76" t="s">
        <v>272</v>
      </c>
      <c r="N76" t="s">
        <v>272</v>
      </c>
      <c r="O76" t="s">
        <v>201</v>
      </c>
      <c r="P76" t="s">
        <v>50</v>
      </c>
    </row>
    <row r="77" spans="1:16" x14ac:dyDescent="0.25">
      <c r="A77" t="s">
        <v>529</v>
      </c>
      <c r="B77" t="str">
        <f t="shared" si="1"/>
        <v>PTC4004 - Montar</v>
      </c>
      <c r="D77" t="s">
        <v>404</v>
      </c>
      <c r="E77" t="s">
        <v>408</v>
      </c>
      <c r="F77" s="8" t="s">
        <v>417</v>
      </c>
      <c r="H77" t="s">
        <v>202</v>
      </c>
      <c r="I77" t="s">
        <v>202</v>
      </c>
      <c r="J77" t="s">
        <v>202</v>
      </c>
      <c r="K77" t="s">
        <v>202</v>
      </c>
      <c r="L77" t="s">
        <v>202</v>
      </c>
      <c r="M77" t="s">
        <v>202</v>
      </c>
      <c r="N77" t="s">
        <v>202</v>
      </c>
      <c r="O77" t="s">
        <v>685</v>
      </c>
      <c r="P77" t="s">
        <v>51</v>
      </c>
    </row>
    <row r="78" spans="1:16" x14ac:dyDescent="0.25">
      <c r="A78" t="s">
        <v>530</v>
      </c>
      <c r="B78" t="str">
        <f t="shared" si="1"/>
        <v>PTC4005 - Ligar</v>
      </c>
      <c r="D78" t="s">
        <v>404</v>
      </c>
      <c r="E78" t="s">
        <v>408</v>
      </c>
      <c r="F78" s="8" t="s">
        <v>418</v>
      </c>
      <c r="H78" t="s">
        <v>203</v>
      </c>
      <c r="I78" t="s">
        <v>203</v>
      </c>
      <c r="J78" t="s">
        <v>203</v>
      </c>
      <c r="K78" t="s">
        <v>203</v>
      </c>
      <c r="L78" t="s">
        <v>203</v>
      </c>
      <c r="M78" t="s">
        <v>203</v>
      </c>
      <c r="N78" t="s">
        <v>203</v>
      </c>
      <c r="O78" t="s">
        <v>686</v>
      </c>
      <c r="P78" t="s">
        <v>52</v>
      </c>
    </row>
    <row r="79" spans="1:16" x14ac:dyDescent="0.25">
      <c r="A79" t="s">
        <v>531</v>
      </c>
      <c r="B79" t="str">
        <f t="shared" si="1"/>
        <v>PTC4006 - Colocar em funcionamento</v>
      </c>
      <c r="D79" t="s">
        <v>404</v>
      </c>
      <c r="E79" t="s">
        <v>408</v>
      </c>
      <c r="F79" s="8" t="s">
        <v>419</v>
      </c>
      <c r="H79" t="s">
        <v>204</v>
      </c>
      <c r="I79" t="s">
        <v>204</v>
      </c>
      <c r="J79" t="s">
        <v>204</v>
      </c>
      <c r="K79" t="s">
        <v>204</v>
      </c>
      <c r="L79" t="s">
        <v>204</v>
      </c>
      <c r="M79" t="s">
        <v>204</v>
      </c>
      <c r="N79" t="s">
        <v>204</v>
      </c>
      <c r="O79" t="s">
        <v>687</v>
      </c>
      <c r="P79" t="s">
        <v>53</v>
      </c>
    </row>
    <row r="80" spans="1:16" x14ac:dyDescent="0.25">
      <c r="A80" t="s">
        <v>532</v>
      </c>
      <c r="B80" t="str">
        <f t="shared" si="1"/>
        <v>PTC4007 - Desligar</v>
      </c>
      <c r="D80" t="s">
        <v>404</v>
      </c>
      <c r="E80" t="s">
        <v>408</v>
      </c>
      <c r="F80" s="8" t="s">
        <v>420</v>
      </c>
      <c r="H80" t="s">
        <v>205</v>
      </c>
      <c r="I80" t="s">
        <v>205</v>
      </c>
      <c r="J80" t="s">
        <v>305</v>
      </c>
      <c r="K80" t="s">
        <v>205</v>
      </c>
      <c r="L80" t="s">
        <v>205</v>
      </c>
      <c r="M80" t="s">
        <v>305</v>
      </c>
      <c r="N80" t="s">
        <v>305</v>
      </c>
      <c r="O80" t="s">
        <v>688</v>
      </c>
      <c r="P80" t="s">
        <v>54</v>
      </c>
    </row>
    <row r="81" spans="1:16" x14ac:dyDescent="0.25">
      <c r="A81" t="s">
        <v>533</v>
      </c>
      <c r="B81" t="str">
        <f t="shared" si="1"/>
        <v>PTC4008 - Armazenamento</v>
      </c>
      <c r="D81" t="s">
        <v>404</v>
      </c>
      <c r="E81" t="s">
        <v>408</v>
      </c>
      <c r="F81" s="8" t="s">
        <v>421</v>
      </c>
      <c r="H81" t="s">
        <v>206</v>
      </c>
      <c r="I81" t="s">
        <v>206</v>
      </c>
      <c r="J81" t="s">
        <v>206</v>
      </c>
      <c r="K81" t="s">
        <v>206</v>
      </c>
      <c r="L81" t="s">
        <v>206</v>
      </c>
      <c r="M81" t="s">
        <v>206</v>
      </c>
      <c r="N81" t="s">
        <v>206</v>
      </c>
      <c r="O81" t="s">
        <v>206</v>
      </c>
      <c r="P81" t="s">
        <v>55</v>
      </c>
    </row>
    <row r="82" spans="1:16" x14ac:dyDescent="0.25">
      <c r="A82" t="s">
        <v>534</v>
      </c>
      <c r="B82" t="str">
        <f t="shared" si="1"/>
        <v>PTC4009 - Descarte</v>
      </c>
      <c r="D82" t="s">
        <v>404</v>
      </c>
      <c r="E82" t="s">
        <v>408</v>
      </c>
      <c r="F82" s="8" t="s">
        <v>422</v>
      </c>
      <c r="H82" t="s">
        <v>207</v>
      </c>
      <c r="I82" t="s">
        <v>207</v>
      </c>
      <c r="J82" t="s">
        <v>248</v>
      </c>
      <c r="K82" t="s">
        <v>207</v>
      </c>
      <c r="L82" t="s">
        <v>207</v>
      </c>
      <c r="M82" t="s">
        <v>248</v>
      </c>
      <c r="N82" t="s">
        <v>248</v>
      </c>
      <c r="O82" t="s">
        <v>689</v>
      </c>
      <c r="P82" t="s">
        <v>56</v>
      </c>
    </row>
    <row r="83" spans="1:16" x14ac:dyDescent="0.25">
      <c r="A83" t="s">
        <v>535</v>
      </c>
      <c r="B83" t="str">
        <f t="shared" si="1"/>
        <v>PTC5 - Operação</v>
      </c>
      <c r="D83" t="s">
        <v>404</v>
      </c>
      <c r="E83" t="s">
        <v>409</v>
      </c>
      <c r="H83" s="2" t="s">
        <v>208</v>
      </c>
      <c r="I83" s="2" t="s">
        <v>208</v>
      </c>
      <c r="J83" s="2" t="s">
        <v>208</v>
      </c>
      <c r="K83" s="2" t="s">
        <v>208</v>
      </c>
      <c r="L83" s="2" t="s">
        <v>208</v>
      </c>
      <c r="M83" s="2" t="s">
        <v>208</v>
      </c>
      <c r="N83" s="2" t="s">
        <v>208</v>
      </c>
      <c r="O83" t="s">
        <v>208</v>
      </c>
      <c r="P83" t="s">
        <v>57</v>
      </c>
    </row>
    <row r="84" spans="1:16" x14ac:dyDescent="0.25">
      <c r="A84" t="s">
        <v>536</v>
      </c>
      <c r="B84" t="str">
        <f t="shared" si="1"/>
        <v>PTC5001 - Avisos de segurança</v>
      </c>
      <c r="D84" t="s">
        <v>404</v>
      </c>
      <c r="E84" t="s">
        <v>409</v>
      </c>
      <c r="F84" s="8" t="s">
        <v>414</v>
      </c>
      <c r="H84" t="s">
        <v>199</v>
      </c>
      <c r="I84" t="s">
        <v>199</v>
      </c>
      <c r="J84" t="s">
        <v>304</v>
      </c>
      <c r="K84" t="s">
        <v>199</v>
      </c>
      <c r="L84" t="s">
        <v>199</v>
      </c>
      <c r="M84" t="s">
        <v>304</v>
      </c>
      <c r="N84" t="s">
        <v>304</v>
      </c>
      <c r="O84" t="s">
        <v>683</v>
      </c>
      <c r="P84" t="s">
        <v>48</v>
      </c>
    </row>
    <row r="85" spans="1:16" x14ac:dyDescent="0.25">
      <c r="A85" t="s">
        <v>537</v>
      </c>
      <c r="B85" t="str">
        <f t="shared" si="1"/>
        <v>PTC5002 - Dispositivos de proteção</v>
      </c>
      <c r="D85" t="s">
        <v>404</v>
      </c>
      <c r="E85" t="s">
        <v>409</v>
      </c>
      <c r="F85" s="8" t="s">
        <v>415</v>
      </c>
      <c r="H85" t="s">
        <v>165</v>
      </c>
      <c r="I85" t="s">
        <v>165</v>
      </c>
      <c r="J85" t="s">
        <v>165</v>
      </c>
      <c r="K85" t="s">
        <v>165</v>
      </c>
      <c r="L85" t="s">
        <v>165</v>
      </c>
      <c r="M85" t="s">
        <v>165</v>
      </c>
      <c r="N85" t="s">
        <v>165</v>
      </c>
      <c r="O85" t="s">
        <v>643</v>
      </c>
      <c r="P85" t="s">
        <v>17</v>
      </c>
    </row>
    <row r="86" spans="1:16" x14ac:dyDescent="0.25">
      <c r="A86" t="s">
        <v>538</v>
      </c>
      <c r="B86" t="str">
        <f t="shared" si="1"/>
        <v>PTC5003 - Botão de parada de emergência</v>
      </c>
      <c r="D86" t="s">
        <v>404</v>
      </c>
      <c r="E86" t="s">
        <v>409</v>
      </c>
      <c r="F86" s="8" t="s">
        <v>416</v>
      </c>
      <c r="H86" t="s">
        <v>209</v>
      </c>
      <c r="I86" t="s">
        <v>209</v>
      </c>
      <c r="J86" t="s">
        <v>306</v>
      </c>
      <c r="K86" t="s">
        <v>209</v>
      </c>
      <c r="L86" t="s">
        <v>209</v>
      </c>
      <c r="M86" t="s">
        <v>306</v>
      </c>
      <c r="N86" t="s">
        <v>306</v>
      </c>
      <c r="O86" t="s">
        <v>690</v>
      </c>
      <c r="P86" t="s">
        <v>58</v>
      </c>
    </row>
    <row r="87" spans="1:16" x14ac:dyDescent="0.25">
      <c r="A87" t="s">
        <v>539</v>
      </c>
      <c r="B87" t="str">
        <f t="shared" si="1"/>
        <v>PTC5004 - Dispositivos de aviso</v>
      </c>
      <c r="D87" t="s">
        <v>404</v>
      </c>
      <c r="E87" t="s">
        <v>409</v>
      </c>
      <c r="F87" s="8" t="s">
        <v>417</v>
      </c>
      <c r="H87" t="s">
        <v>183</v>
      </c>
      <c r="I87" t="s">
        <v>183</v>
      </c>
      <c r="J87" t="s">
        <v>183</v>
      </c>
      <c r="K87" t="s">
        <v>183</v>
      </c>
      <c r="L87" t="s">
        <v>183</v>
      </c>
      <c r="M87" t="s">
        <v>183</v>
      </c>
      <c r="N87" t="s">
        <v>183</v>
      </c>
      <c r="O87" t="s">
        <v>672</v>
      </c>
      <c r="P87" t="s">
        <v>38</v>
      </c>
    </row>
    <row r="88" spans="1:16" x14ac:dyDescent="0.25">
      <c r="A88" t="s">
        <v>540</v>
      </c>
      <c r="B88" t="str">
        <f t="shared" si="1"/>
        <v>PTC5005 - Luzes de sinalização</v>
      </c>
      <c r="D88" t="s">
        <v>404</v>
      </c>
      <c r="E88" t="s">
        <v>409</v>
      </c>
      <c r="F88" s="8" t="s">
        <v>418</v>
      </c>
      <c r="H88" t="s">
        <v>210</v>
      </c>
      <c r="I88" t="s">
        <v>210</v>
      </c>
      <c r="J88" t="s">
        <v>307</v>
      </c>
      <c r="K88" t="s">
        <v>210</v>
      </c>
      <c r="L88" t="s">
        <v>365</v>
      </c>
      <c r="M88" t="s">
        <v>307</v>
      </c>
      <c r="N88" t="s">
        <v>307</v>
      </c>
      <c r="O88" t="s">
        <v>691</v>
      </c>
      <c r="P88" t="s">
        <v>59</v>
      </c>
    </row>
    <row r="89" spans="1:16" x14ac:dyDescent="0.25">
      <c r="A89" t="s">
        <v>541</v>
      </c>
      <c r="B89" t="str">
        <f t="shared" si="1"/>
        <v>PTC5006 - Sirene de aviso</v>
      </c>
      <c r="D89" t="s">
        <v>404</v>
      </c>
      <c r="E89" t="s">
        <v>409</v>
      </c>
      <c r="F89" s="8" t="s">
        <v>419</v>
      </c>
      <c r="H89" t="s">
        <v>211</v>
      </c>
      <c r="I89" t="s">
        <v>211</v>
      </c>
      <c r="J89" t="s">
        <v>308</v>
      </c>
      <c r="K89" t="s">
        <v>211</v>
      </c>
      <c r="L89" t="s">
        <v>211</v>
      </c>
      <c r="M89" t="s">
        <v>308</v>
      </c>
      <c r="N89" t="s">
        <v>308</v>
      </c>
      <c r="O89" t="s">
        <v>692</v>
      </c>
      <c r="P89" t="s">
        <v>60</v>
      </c>
    </row>
    <row r="90" spans="1:16" x14ac:dyDescent="0.25">
      <c r="A90" t="s">
        <v>542</v>
      </c>
      <c r="B90" t="str">
        <f t="shared" si="1"/>
        <v>PTC5007 - Dispositivos de comando</v>
      </c>
      <c r="D90" t="s">
        <v>404</v>
      </c>
      <c r="E90" t="s">
        <v>409</v>
      </c>
      <c r="F90" s="8" t="s">
        <v>420</v>
      </c>
      <c r="H90" t="s">
        <v>184</v>
      </c>
      <c r="I90" t="s">
        <v>184</v>
      </c>
      <c r="J90" t="s">
        <v>184</v>
      </c>
      <c r="K90" t="s">
        <v>184</v>
      </c>
      <c r="L90" t="s">
        <v>184</v>
      </c>
      <c r="M90" t="s">
        <v>184</v>
      </c>
      <c r="N90" t="s">
        <v>184</v>
      </c>
      <c r="O90" t="s">
        <v>673</v>
      </c>
      <c r="P90" t="s">
        <v>39</v>
      </c>
    </row>
    <row r="91" spans="1:16" x14ac:dyDescent="0.25">
      <c r="A91" s="9" t="s">
        <v>783</v>
      </c>
      <c r="B91" s="9" t="str">
        <f t="shared" si="1"/>
        <v>PTC5008 - sistema de controlo de processo PlantiT</v>
      </c>
      <c r="D91" t="s">
        <v>404</v>
      </c>
      <c r="E91" t="s">
        <v>409</v>
      </c>
      <c r="F91" s="8" t="s">
        <v>421</v>
      </c>
      <c r="O91" t="s">
        <v>693</v>
      </c>
      <c r="P91" t="s">
        <v>377</v>
      </c>
    </row>
    <row r="92" spans="1:16" x14ac:dyDescent="0.25">
      <c r="A92" s="9" t="s">
        <v>784</v>
      </c>
      <c r="B92" s="9" t="str">
        <f t="shared" si="1"/>
        <v>PTC5009 - teclado</v>
      </c>
      <c r="D92" t="s">
        <v>404</v>
      </c>
      <c r="E92" t="s">
        <v>409</v>
      </c>
      <c r="F92" s="8" t="s">
        <v>422</v>
      </c>
      <c r="O92" t="s">
        <v>694</v>
      </c>
      <c r="P92" t="s">
        <v>62</v>
      </c>
    </row>
    <row r="93" spans="1:16" x14ac:dyDescent="0.25">
      <c r="A93" t="s">
        <v>543</v>
      </c>
      <c r="B93" t="str">
        <f t="shared" si="1"/>
        <v>PTC5010 - Painel de controlo</v>
      </c>
      <c r="D93" t="s">
        <v>404</v>
      </c>
      <c r="E93" t="s">
        <v>409</v>
      </c>
      <c r="F93" s="8" t="s">
        <v>423</v>
      </c>
      <c r="J93" t="s">
        <v>309</v>
      </c>
      <c r="O93" t="s">
        <v>674</v>
      </c>
      <c r="P93" t="s">
        <v>61</v>
      </c>
    </row>
    <row r="94" spans="1:16" x14ac:dyDescent="0.25">
      <c r="A94" t="s">
        <v>544</v>
      </c>
      <c r="B94" t="str">
        <f t="shared" si="1"/>
        <v>PTC5011 - Botões</v>
      </c>
      <c r="D94" t="s">
        <v>404</v>
      </c>
      <c r="E94" t="s">
        <v>409</v>
      </c>
      <c r="F94" s="8" t="s">
        <v>424</v>
      </c>
      <c r="J94" t="s">
        <v>310</v>
      </c>
      <c r="O94" t="s">
        <v>695</v>
      </c>
      <c r="P94" t="s">
        <v>310</v>
      </c>
    </row>
    <row r="95" spans="1:16" x14ac:dyDescent="0.25">
      <c r="A95" s="9" t="s">
        <v>770</v>
      </c>
      <c r="B95" s="9" t="str">
        <f t="shared" si="1"/>
        <v>PTC5012 - [Redis] interruptor de chave</v>
      </c>
      <c r="D95" t="s">
        <v>404</v>
      </c>
      <c r="E95" t="s">
        <v>409</v>
      </c>
      <c r="F95" s="8" t="s">
        <v>425</v>
      </c>
      <c r="O95" t="s">
        <v>696</v>
      </c>
      <c r="P95" t="s">
        <v>141</v>
      </c>
    </row>
    <row r="96" spans="1:16" x14ac:dyDescent="0.25">
      <c r="A96" s="9" t="s">
        <v>785</v>
      </c>
      <c r="B96" s="9" t="str">
        <f t="shared" si="1"/>
        <v>PTC5013 - teclado</v>
      </c>
      <c r="D96" t="s">
        <v>404</v>
      </c>
      <c r="E96" t="s">
        <v>409</v>
      </c>
      <c r="F96" s="8" t="s">
        <v>426</v>
      </c>
      <c r="O96" t="s">
        <v>694</v>
      </c>
      <c r="P96" t="s">
        <v>62</v>
      </c>
    </row>
    <row r="97" spans="1:16" x14ac:dyDescent="0.25">
      <c r="A97" t="s">
        <v>545</v>
      </c>
      <c r="B97" t="str">
        <f t="shared" si="1"/>
        <v>PTC5014 - Interruptor principal</v>
      </c>
      <c r="D97" t="s">
        <v>404</v>
      </c>
      <c r="E97" t="s">
        <v>409</v>
      </c>
      <c r="F97" s="8" t="s">
        <v>427</v>
      </c>
      <c r="H97" t="s">
        <v>212</v>
      </c>
      <c r="I97" t="s">
        <v>212</v>
      </c>
      <c r="J97" t="s">
        <v>212</v>
      </c>
      <c r="K97" t="s">
        <v>212</v>
      </c>
      <c r="L97" t="s">
        <v>212</v>
      </c>
      <c r="M97" t="s">
        <v>212</v>
      </c>
      <c r="N97" t="s">
        <v>212</v>
      </c>
      <c r="O97" t="s">
        <v>697</v>
      </c>
      <c r="P97" t="s">
        <v>63</v>
      </c>
    </row>
    <row r="98" spans="1:16" x14ac:dyDescent="0.25">
      <c r="A98" t="s">
        <v>546</v>
      </c>
      <c r="B98" t="str">
        <f t="shared" si="1"/>
        <v>PTC5015 - Válvulas de bloqueio manual</v>
      </c>
      <c r="D98" t="s">
        <v>404</v>
      </c>
      <c r="E98" t="s">
        <v>409</v>
      </c>
      <c r="F98" s="8" t="s">
        <v>428</v>
      </c>
      <c r="H98" t="s">
        <v>213</v>
      </c>
      <c r="I98" t="s">
        <v>213</v>
      </c>
      <c r="J98" t="s">
        <v>213</v>
      </c>
      <c r="K98" t="s">
        <v>213</v>
      </c>
      <c r="L98" t="s">
        <v>213</v>
      </c>
      <c r="M98" t="s">
        <v>213</v>
      </c>
      <c r="N98" t="s">
        <v>213</v>
      </c>
      <c r="O98" t="s">
        <v>698</v>
      </c>
      <c r="P98" t="s">
        <v>64</v>
      </c>
    </row>
    <row r="99" spans="1:16" x14ac:dyDescent="0.25">
      <c r="A99" t="s">
        <v>547</v>
      </c>
      <c r="B99" t="str">
        <f t="shared" si="1"/>
        <v>PTC5016 - Distribuidor</v>
      </c>
      <c r="D99" t="s">
        <v>404</v>
      </c>
      <c r="E99" t="s">
        <v>409</v>
      </c>
      <c r="F99" s="8" t="s">
        <v>429</v>
      </c>
      <c r="J99" t="s">
        <v>273</v>
      </c>
      <c r="O99" t="s">
        <v>273</v>
      </c>
      <c r="P99" t="s">
        <v>142</v>
      </c>
    </row>
    <row r="100" spans="1:16" x14ac:dyDescent="0.25">
      <c r="A100" s="9" t="s">
        <v>786</v>
      </c>
      <c r="B100" s="9" t="str">
        <f t="shared" si="1"/>
        <v>PTC5017 - distribuidor CIP</v>
      </c>
      <c r="D100" t="s">
        <v>404</v>
      </c>
      <c r="E100" t="s">
        <v>409</v>
      </c>
      <c r="F100" s="8" t="s">
        <v>430</v>
      </c>
      <c r="O100" t="s">
        <v>699</v>
      </c>
      <c r="P100" t="s">
        <v>396</v>
      </c>
    </row>
    <row r="101" spans="1:16" x14ac:dyDescent="0.25">
      <c r="A101" s="9" t="s">
        <v>771</v>
      </c>
      <c r="B101" s="9" t="str">
        <f t="shared" si="1"/>
        <v>PTC5018 - Distribuidor na alimentação de mídia</v>
      </c>
      <c r="D101" t="s">
        <v>404</v>
      </c>
      <c r="E101" t="s">
        <v>409</v>
      </c>
      <c r="F101" s="8" t="s">
        <v>431</v>
      </c>
      <c r="O101" t="s">
        <v>700</v>
      </c>
      <c r="P101" t="s">
        <v>143</v>
      </c>
    </row>
    <row r="102" spans="1:16" x14ac:dyDescent="0.25">
      <c r="A102" t="s">
        <v>548</v>
      </c>
      <c r="B102" t="str">
        <f t="shared" si="1"/>
        <v>PTC5019 - Seletor na limpeza dos camiões cisterna</v>
      </c>
      <c r="D102" t="s">
        <v>404</v>
      </c>
      <c r="E102" t="s">
        <v>409</v>
      </c>
      <c r="F102" s="8" t="s">
        <v>432</v>
      </c>
      <c r="J102" t="s">
        <v>311</v>
      </c>
      <c r="O102" t="s">
        <v>701</v>
      </c>
      <c r="P102" t="s">
        <v>311</v>
      </c>
    </row>
    <row r="103" spans="1:16" x14ac:dyDescent="0.25">
      <c r="A103" t="s">
        <v>549</v>
      </c>
      <c r="B103" t="str">
        <f t="shared" si="1"/>
        <v>PTC5020 - Estabelecer prontidão operacional</v>
      </c>
      <c r="D103" t="s">
        <v>404</v>
      </c>
      <c r="E103" t="s">
        <v>409</v>
      </c>
      <c r="F103" s="8" t="s">
        <v>433</v>
      </c>
      <c r="H103" t="s">
        <v>214</v>
      </c>
      <c r="I103" t="s">
        <v>214</v>
      </c>
      <c r="J103" t="s">
        <v>312</v>
      </c>
      <c r="K103" t="s">
        <v>214</v>
      </c>
      <c r="L103" t="s">
        <v>214</v>
      </c>
      <c r="M103" t="s">
        <v>388</v>
      </c>
      <c r="N103" t="s">
        <v>388</v>
      </c>
      <c r="O103" t="s">
        <v>702</v>
      </c>
      <c r="P103" t="s">
        <v>65</v>
      </c>
    </row>
    <row r="104" spans="1:16" x14ac:dyDescent="0.25">
      <c r="A104" t="s">
        <v>550</v>
      </c>
      <c r="B104" t="str">
        <f t="shared" si="1"/>
        <v>PTC5021 - Abrir e configurar a alimentação do ar controlado</v>
      </c>
      <c r="D104" t="s">
        <v>404</v>
      </c>
      <c r="E104" t="s">
        <v>409</v>
      </c>
      <c r="F104" s="8" t="s">
        <v>434</v>
      </c>
      <c r="H104" t="s">
        <v>215</v>
      </c>
      <c r="I104" t="s">
        <v>215</v>
      </c>
      <c r="J104" t="s">
        <v>313</v>
      </c>
      <c r="K104" t="s">
        <v>215</v>
      </c>
      <c r="L104" t="s">
        <v>366</v>
      </c>
      <c r="M104" t="s">
        <v>313</v>
      </c>
      <c r="N104" t="s">
        <v>313</v>
      </c>
      <c r="O104" t="s">
        <v>703</v>
      </c>
      <c r="P104" t="s">
        <v>66</v>
      </c>
    </row>
    <row r="105" spans="1:16" x14ac:dyDescent="0.25">
      <c r="A105" t="s">
        <v>551</v>
      </c>
      <c r="B105" t="str">
        <f t="shared" si="1"/>
        <v>PTC5022 - Ligar a alimentação de tensão</v>
      </c>
      <c r="D105" t="s">
        <v>404</v>
      </c>
      <c r="E105" t="s">
        <v>409</v>
      </c>
      <c r="F105" s="8" t="s">
        <v>435</v>
      </c>
      <c r="H105" t="s">
        <v>216</v>
      </c>
      <c r="I105" t="s">
        <v>216</v>
      </c>
      <c r="J105" t="s">
        <v>216</v>
      </c>
      <c r="K105" t="s">
        <v>216</v>
      </c>
      <c r="L105" t="s">
        <v>216</v>
      </c>
      <c r="M105" t="s">
        <v>216</v>
      </c>
      <c r="N105" t="s">
        <v>216</v>
      </c>
      <c r="O105" t="s">
        <v>704</v>
      </c>
      <c r="P105" t="s">
        <v>67</v>
      </c>
    </row>
    <row r="106" spans="1:16" x14ac:dyDescent="0.25">
      <c r="A106" t="s">
        <v>552</v>
      </c>
      <c r="B106" t="str">
        <f t="shared" si="1"/>
        <v>PTC5023 - Ligar tensão de comando</v>
      </c>
      <c r="D106" t="s">
        <v>404</v>
      </c>
      <c r="E106" t="s">
        <v>409</v>
      </c>
      <c r="F106" s="8" t="s">
        <v>436</v>
      </c>
      <c r="H106" t="s">
        <v>217</v>
      </c>
      <c r="I106" t="s">
        <v>217</v>
      </c>
      <c r="J106" t="s">
        <v>314</v>
      </c>
      <c r="K106" t="s">
        <v>217</v>
      </c>
      <c r="L106" t="s">
        <v>217</v>
      </c>
      <c r="M106" t="s">
        <v>314</v>
      </c>
      <c r="N106" t="s">
        <v>314</v>
      </c>
      <c r="O106" t="s">
        <v>705</v>
      </c>
      <c r="P106" t="s">
        <v>68</v>
      </c>
    </row>
    <row r="107" spans="1:16" x14ac:dyDescent="0.25">
      <c r="A107" s="9" t="s">
        <v>787</v>
      </c>
      <c r="B107" s="9" t="str">
        <f t="shared" si="1"/>
        <v>PTC5024 - Ligar o gravador de dados</v>
      </c>
      <c r="D107" t="s">
        <v>404</v>
      </c>
      <c r="E107" t="s">
        <v>409</v>
      </c>
      <c r="F107" s="8" t="s">
        <v>437</v>
      </c>
      <c r="O107" t="s">
        <v>706</v>
      </c>
      <c r="P107" t="s">
        <v>69</v>
      </c>
    </row>
    <row r="108" spans="1:16" x14ac:dyDescent="0.25">
      <c r="A108" t="s">
        <v>553</v>
      </c>
      <c r="B108" t="str">
        <f t="shared" si="1"/>
        <v>PTC5025 - Preparar a máquina</v>
      </c>
      <c r="D108" t="s">
        <v>404</v>
      </c>
      <c r="E108" t="s">
        <v>409</v>
      </c>
      <c r="F108" s="8" t="s">
        <v>438</v>
      </c>
      <c r="H108" t="s">
        <v>218</v>
      </c>
      <c r="I108" t="s">
        <v>218</v>
      </c>
      <c r="J108" t="s">
        <v>315</v>
      </c>
      <c r="K108" t="s">
        <v>218</v>
      </c>
      <c r="L108" t="s">
        <v>218</v>
      </c>
      <c r="M108" t="s">
        <v>315</v>
      </c>
      <c r="N108" t="s">
        <v>315</v>
      </c>
      <c r="O108" t="s">
        <v>707</v>
      </c>
      <c r="P108" t="s">
        <v>70</v>
      </c>
    </row>
    <row r="109" spans="1:16" x14ac:dyDescent="0.25">
      <c r="A109" t="s">
        <v>554</v>
      </c>
      <c r="B109" t="str">
        <f t="shared" si="1"/>
        <v>PTC5026 - Limpeza de máquinas/sistemas externos</v>
      </c>
      <c r="D109" t="s">
        <v>404</v>
      </c>
      <c r="E109" t="s">
        <v>409</v>
      </c>
      <c r="F109" s="8" t="s">
        <v>439</v>
      </c>
      <c r="N109" t="s">
        <v>316</v>
      </c>
      <c r="O109" t="s">
        <v>708</v>
      </c>
      <c r="P109" t="s">
        <v>401</v>
      </c>
    </row>
    <row r="110" spans="1:16" x14ac:dyDescent="0.25">
      <c r="A110" t="s">
        <v>555</v>
      </c>
      <c r="B110" t="str">
        <f t="shared" si="1"/>
        <v>PTC5027 - Limpeza das máquinas/dos sistemas externos</v>
      </c>
      <c r="D110" t="s">
        <v>404</v>
      </c>
      <c r="E110" t="s">
        <v>409</v>
      </c>
      <c r="F110" s="8" t="s">
        <v>440</v>
      </c>
      <c r="H110" t="s">
        <v>219</v>
      </c>
      <c r="I110" t="s">
        <v>219</v>
      </c>
      <c r="J110" t="s">
        <v>316</v>
      </c>
      <c r="K110" t="s">
        <v>219</v>
      </c>
      <c r="L110" t="s">
        <v>219</v>
      </c>
      <c r="M110" t="s">
        <v>316</v>
      </c>
      <c r="N110" t="s">
        <v>304</v>
      </c>
      <c r="O110" t="s">
        <v>709</v>
      </c>
      <c r="P110" t="s">
        <v>71</v>
      </c>
    </row>
    <row r="111" spans="1:16" x14ac:dyDescent="0.25">
      <c r="A111" t="s">
        <v>556</v>
      </c>
      <c r="B111" t="str">
        <f t="shared" si="1"/>
        <v>PTC5028 - Avisos de segurança</v>
      </c>
      <c r="D111" t="s">
        <v>404</v>
      </c>
      <c r="E111" t="s">
        <v>409</v>
      </c>
      <c r="F111" s="8" t="s">
        <v>441</v>
      </c>
      <c r="H111" t="s">
        <v>199</v>
      </c>
      <c r="I111" t="s">
        <v>199</v>
      </c>
      <c r="J111" t="s">
        <v>304</v>
      </c>
      <c r="K111" t="s">
        <v>199</v>
      </c>
      <c r="L111" t="s">
        <v>199</v>
      </c>
      <c r="M111" t="s">
        <v>304</v>
      </c>
      <c r="O111" t="s">
        <v>683</v>
      </c>
      <c r="P111" t="s">
        <v>48</v>
      </c>
    </row>
    <row r="112" spans="1:16" x14ac:dyDescent="0.25">
      <c r="A112" t="s">
        <v>557</v>
      </c>
      <c r="B112" t="str">
        <f t="shared" si="1"/>
        <v>PTC5029 - Lista de pequenas intervenções</v>
      </c>
      <c r="D112" t="s">
        <v>404</v>
      </c>
      <c r="E112" t="s">
        <v>409</v>
      </c>
      <c r="F112" s="8" t="s">
        <v>442</v>
      </c>
      <c r="L112" t="s">
        <v>367</v>
      </c>
      <c r="O112" t="s">
        <v>710</v>
      </c>
      <c r="P112" t="s">
        <v>367</v>
      </c>
    </row>
    <row r="113" spans="1:16" x14ac:dyDescent="0.25">
      <c r="A113" t="s">
        <v>558</v>
      </c>
      <c r="B113" t="str">
        <f t="shared" si="1"/>
        <v>PTC5030 - Requisitos</v>
      </c>
      <c r="D113" t="s">
        <v>404</v>
      </c>
      <c r="E113" t="s">
        <v>409</v>
      </c>
      <c r="F113" s="8" t="s">
        <v>443</v>
      </c>
      <c r="H113" t="s">
        <v>220</v>
      </c>
      <c r="I113" t="s">
        <v>220</v>
      </c>
      <c r="J113" t="s">
        <v>237</v>
      </c>
      <c r="K113" t="s">
        <v>220</v>
      </c>
      <c r="L113" t="s">
        <v>220</v>
      </c>
      <c r="M113" t="s">
        <v>237</v>
      </c>
      <c r="N113" t="s">
        <v>237</v>
      </c>
      <c r="O113" t="s">
        <v>711</v>
      </c>
      <c r="P113" t="s">
        <v>72</v>
      </c>
    </row>
    <row r="114" spans="1:16" x14ac:dyDescent="0.25">
      <c r="A114" t="s">
        <v>559</v>
      </c>
      <c r="B114" t="str">
        <f t="shared" si="1"/>
        <v>PTC5031 - Preparar</v>
      </c>
      <c r="D114" t="s">
        <v>404</v>
      </c>
      <c r="E114" t="s">
        <v>409</v>
      </c>
      <c r="F114" s="8" t="s">
        <v>444</v>
      </c>
      <c r="H114" t="s">
        <v>221</v>
      </c>
      <c r="I114" t="s">
        <v>221</v>
      </c>
      <c r="J114" t="s">
        <v>221</v>
      </c>
      <c r="K114" t="s">
        <v>221</v>
      </c>
      <c r="L114" t="s">
        <v>221</v>
      </c>
      <c r="M114" t="s">
        <v>221</v>
      </c>
      <c r="N114" t="s">
        <v>221</v>
      </c>
      <c r="O114" t="s">
        <v>712</v>
      </c>
      <c r="P114" t="s">
        <v>73</v>
      </c>
    </row>
    <row r="115" spans="1:16" x14ac:dyDescent="0.25">
      <c r="A115" t="s">
        <v>560</v>
      </c>
      <c r="B115" t="str">
        <f t="shared" si="1"/>
        <v>PTC5032 - Executar</v>
      </c>
      <c r="D115" t="s">
        <v>404</v>
      </c>
      <c r="E115" t="s">
        <v>409</v>
      </c>
      <c r="F115" s="8" t="s">
        <v>445</v>
      </c>
      <c r="H115" t="s">
        <v>222</v>
      </c>
      <c r="I115" t="s">
        <v>222</v>
      </c>
      <c r="J115" t="s">
        <v>222</v>
      </c>
      <c r="K115" t="s">
        <v>222</v>
      </c>
      <c r="L115" t="s">
        <v>222</v>
      </c>
      <c r="M115" t="s">
        <v>222</v>
      </c>
      <c r="N115" t="s">
        <v>222</v>
      </c>
      <c r="O115" t="s">
        <v>713</v>
      </c>
      <c r="P115" t="s">
        <v>74</v>
      </c>
    </row>
    <row r="116" spans="1:16" x14ac:dyDescent="0.25">
      <c r="A116" t="s">
        <v>561</v>
      </c>
      <c r="B116" t="str">
        <f t="shared" si="1"/>
        <v>PTC5033 - Encerrar</v>
      </c>
      <c r="D116" t="s">
        <v>404</v>
      </c>
      <c r="E116" t="s">
        <v>409</v>
      </c>
      <c r="F116" s="8" t="s">
        <v>446</v>
      </c>
      <c r="H116" t="s">
        <v>223</v>
      </c>
      <c r="I116" t="s">
        <v>223</v>
      </c>
      <c r="J116" t="s">
        <v>317</v>
      </c>
      <c r="K116" t="s">
        <v>223</v>
      </c>
      <c r="L116" t="s">
        <v>223</v>
      </c>
      <c r="M116" t="s">
        <v>317</v>
      </c>
      <c r="N116" t="s">
        <v>317</v>
      </c>
      <c r="O116" t="s">
        <v>714</v>
      </c>
      <c r="P116" t="s">
        <v>75</v>
      </c>
    </row>
    <row r="117" spans="1:16" x14ac:dyDescent="0.25">
      <c r="A117" t="s">
        <v>562</v>
      </c>
      <c r="B117" t="str">
        <f t="shared" si="1"/>
        <v>PTC5034 - Efetuar o enxágue com água quente</v>
      </c>
      <c r="D117" t="s">
        <v>404</v>
      </c>
      <c r="E117" t="s">
        <v>409</v>
      </c>
      <c r="F117" s="8" t="s">
        <v>447</v>
      </c>
      <c r="L117" t="s">
        <v>368</v>
      </c>
      <c r="O117" t="s">
        <v>275</v>
      </c>
      <c r="P117" t="s">
        <v>275</v>
      </c>
    </row>
    <row r="118" spans="1:16" x14ac:dyDescent="0.25">
      <c r="A118" t="s">
        <v>563</v>
      </c>
      <c r="B118" t="str">
        <f t="shared" si="1"/>
        <v>PTC5035 - Limpeza do sistema CIP</v>
      </c>
      <c r="D118" t="s">
        <v>404</v>
      </c>
      <c r="E118" t="s">
        <v>409</v>
      </c>
      <c r="F118" s="8" t="s">
        <v>448</v>
      </c>
      <c r="H118" t="s">
        <v>224</v>
      </c>
      <c r="I118" t="s">
        <v>224</v>
      </c>
      <c r="J118" t="s">
        <v>224</v>
      </c>
      <c r="K118" t="s">
        <v>224</v>
      </c>
      <c r="L118" t="s">
        <v>224</v>
      </c>
      <c r="M118" t="s">
        <v>224</v>
      </c>
      <c r="N118" t="s">
        <v>224</v>
      </c>
      <c r="O118" t="s">
        <v>224</v>
      </c>
      <c r="P118" t="s">
        <v>76</v>
      </c>
    </row>
    <row r="119" spans="1:16" x14ac:dyDescent="0.25">
      <c r="A119" t="s">
        <v>564</v>
      </c>
      <c r="B119" t="str">
        <f t="shared" si="1"/>
        <v>PTC5036 - Avisos de segurança</v>
      </c>
      <c r="D119" t="s">
        <v>404</v>
      </c>
      <c r="E119" t="s">
        <v>409</v>
      </c>
      <c r="F119" s="8" t="s">
        <v>449</v>
      </c>
      <c r="H119" t="s">
        <v>199</v>
      </c>
      <c r="I119" t="s">
        <v>199</v>
      </c>
      <c r="J119" t="s">
        <v>304</v>
      </c>
      <c r="K119" t="s">
        <v>199</v>
      </c>
      <c r="L119" t="s">
        <v>199</v>
      </c>
      <c r="M119" t="s">
        <v>304</v>
      </c>
      <c r="N119" t="s">
        <v>304</v>
      </c>
      <c r="O119" t="s">
        <v>683</v>
      </c>
      <c r="P119" t="s">
        <v>48</v>
      </c>
    </row>
    <row r="120" spans="1:16" x14ac:dyDescent="0.25">
      <c r="A120" t="s">
        <v>565</v>
      </c>
      <c r="B120" t="str">
        <f t="shared" si="1"/>
        <v>PTC5037 - Requisitos</v>
      </c>
      <c r="D120" t="s">
        <v>404</v>
      </c>
      <c r="E120" t="s">
        <v>409</v>
      </c>
      <c r="F120" s="8" t="s">
        <v>450</v>
      </c>
      <c r="H120" t="s">
        <v>220</v>
      </c>
      <c r="I120" t="s">
        <v>220</v>
      </c>
      <c r="J120" t="s">
        <v>237</v>
      </c>
      <c r="K120" t="s">
        <v>220</v>
      </c>
      <c r="L120" t="s">
        <v>220</v>
      </c>
      <c r="M120" t="s">
        <v>237</v>
      </c>
      <c r="N120" t="s">
        <v>237</v>
      </c>
      <c r="O120" t="s">
        <v>711</v>
      </c>
      <c r="P120" t="s">
        <v>72</v>
      </c>
    </row>
    <row r="121" spans="1:16" x14ac:dyDescent="0.25">
      <c r="A121" t="s">
        <v>566</v>
      </c>
      <c r="B121" t="str">
        <f t="shared" si="1"/>
        <v>PTC5038 - Preparar</v>
      </c>
      <c r="D121" t="s">
        <v>404</v>
      </c>
      <c r="E121" t="s">
        <v>409</v>
      </c>
      <c r="F121" s="8" t="s">
        <v>451</v>
      </c>
      <c r="H121" t="s">
        <v>221</v>
      </c>
      <c r="I121" t="s">
        <v>221</v>
      </c>
      <c r="J121" t="s">
        <v>221</v>
      </c>
      <c r="K121" t="s">
        <v>221</v>
      </c>
      <c r="L121" t="s">
        <v>221</v>
      </c>
      <c r="M121" t="s">
        <v>221</v>
      </c>
      <c r="N121" t="s">
        <v>221</v>
      </c>
      <c r="O121" t="s">
        <v>712</v>
      </c>
      <c r="P121" t="s">
        <v>73</v>
      </c>
    </row>
    <row r="122" spans="1:16" x14ac:dyDescent="0.25">
      <c r="A122" t="s">
        <v>567</v>
      </c>
      <c r="B122" t="str">
        <f t="shared" si="1"/>
        <v>PTC5039 - Executar</v>
      </c>
      <c r="D122" t="s">
        <v>404</v>
      </c>
      <c r="E122" t="s">
        <v>409</v>
      </c>
      <c r="F122" s="8" t="s">
        <v>452</v>
      </c>
      <c r="H122" t="s">
        <v>222</v>
      </c>
      <c r="I122" t="s">
        <v>222</v>
      </c>
      <c r="J122" t="s">
        <v>222</v>
      </c>
      <c r="K122" t="s">
        <v>222</v>
      </c>
      <c r="L122" t="s">
        <v>222</v>
      </c>
      <c r="M122" t="s">
        <v>222</v>
      </c>
      <c r="N122" t="s">
        <v>222</v>
      </c>
      <c r="O122" t="s">
        <v>713</v>
      </c>
      <c r="P122" t="s">
        <v>74</v>
      </c>
    </row>
    <row r="123" spans="1:16" x14ac:dyDescent="0.25">
      <c r="A123" t="s">
        <v>568</v>
      </c>
      <c r="B123" t="str">
        <f t="shared" si="1"/>
        <v>PTC5040 - Encerrar</v>
      </c>
      <c r="D123" t="s">
        <v>404</v>
      </c>
      <c r="E123" t="s">
        <v>409</v>
      </c>
      <c r="F123" s="8" t="s">
        <v>453</v>
      </c>
      <c r="H123" t="s">
        <v>223</v>
      </c>
      <c r="I123" t="s">
        <v>223</v>
      </c>
      <c r="J123" t="s">
        <v>317</v>
      </c>
      <c r="K123" t="s">
        <v>223</v>
      </c>
      <c r="L123" t="s">
        <v>223</v>
      </c>
      <c r="M123" t="s">
        <v>317</v>
      </c>
      <c r="N123" t="s">
        <v>317</v>
      </c>
      <c r="O123" t="s">
        <v>714</v>
      </c>
      <c r="P123" t="s">
        <v>75</v>
      </c>
    </row>
    <row r="124" spans="1:16" x14ac:dyDescent="0.25">
      <c r="A124" s="9" t="s">
        <v>788</v>
      </c>
      <c r="B124" s="9" t="str">
        <f t="shared" si="1"/>
        <v>PTC5041 - Prepare el distribuidor para la siguiente producción</v>
      </c>
      <c r="D124" t="s">
        <v>404</v>
      </c>
      <c r="E124" t="s">
        <v>409</v>
      </c>
      <c r="F124" s="8" t="s">
        <v>454</v>
      </c>
      <c r="O124" t="s">
        <v>276</v>
      </c>
      <c r="P124" t="s">
        <v>276</v>
      </c>
    </row>
    <row r="125" spans="1:16" x14ac:dyDescent="0.25">
      <c r="A125" s="9" t="s">
        <v>789</v>
      </c>
      <c r="B125" s="9" t="str">
        <f t="shared" si="1"/>
        <v>PTC5042 - Distribuidor em CR70 circuito detergente</v>
      </c>
      <c r="D125" t="s">
        <v>404</v>
      </c>
      <c r="E125" t="s">
        <v>409</v>
      </c>
      <c r="F125" s="8" t="s">
        <v>455</v>
      </c>
      <c r="O125" t="s">
        <v>715</v>
      </c>
      <c r="P125" t="s">
        <v>397</v>
      </c>
    </row>
    <row r="126" spans="1:16" x14ac:dyDescent="0.25">
      <c r="A126" s="9" t="s">
        <v>790</v>
      </c>
      <c r="B126" s="9" t="str">
        <f t="shared" si="1"/>
        <v>PTC5043 - Distribuidor em CR69 circuito detergente</v>
      </c>
      <c r="D126" t="s">
        <v>404</v>
      </c>
      <c r="E126" t="s">
        <v>409</v>
      </c>
      <c r="F126" s="8" t="s">
        <v>456</v>
      </c>
      <c r="O126" t="s">
        <v>716</v>
      </c>
      <c r="P126" t="s">
        <v>398</v>
      </c>
    </row>
    <row r="127" spans="1:16" x14ac:dyDescent="0.25">
      <c r="A127" t="s">
        <v>569</v>
      </c>
      <c r="B127" t="str">
        <f t="shared" si="1"/>
        <v>PTC5044 - Cancelar prontidão operacional</v>
      </c>
      <c r="D127" t="s">
        <v>404</v>
      </c>
      <c r="E127" t="s">
        <v>409</v>
      </c>
      <c r="F127" s="8" t="s">
        <v>457</v>
      </c>
      <c r="H127" t="s">
        <v>225</v>
      </c>
      <c r="I127" t="s">
        <v>225</v>
      </c>
      <c r="J127" t="s">
        <v>318</v>
      </c>
      <c r="K127" t="s">
        <v>225</v>
      </c>
      <c r="L127" t="s">
        <v>225</v>
      </c>
      <c r="M127" t="s">
        <v>389</v>
      </c>
      <c r="N127" t="s">
        <v>389</v>
      </c>
      <c r="O127" t="s">
        <v>717</v>
      </c>
      <c r="P127" t="s">
        <v>77</v>
      </c>
    </row>
    <row r="128" spans="1:16" x14ac:dyDescent="0.25">
      <c r="A128" s="9" t="s">
        <v>772</v>
      </c>
      <c r="B128" s="9" t="str">
        <f t="shared" si="1"/>
        <v>PTC5045 - Fechando o sistema de limpeza</v>
      </c>
      <c r="D128" t="s">
        <v>404</v>
      </c>
      <c r="E128" t="s">
        <v>409</v>
      </c>
      <c r="F128" s="8" t="s">
        <v>458</v>
      </c>
      <c r="O128" t="s">
        <v>718</v>
      </c>
      <c r="P128" t="s">
        <v>402</v>
      </c>
    </row>
    <row r="129" spans="1:16" x14ac:dyDescent="0.25">
      <c r="A129" s="9" t="s">
        <v>773</v>
      </c>
      <c r="B129" s="9" t="str">
        <f t="shared" si="1"/>
        <v>PTC5046 - Fechando a medição de consumo</v>
      </c>
      <c r="D129" t="s">
        <v>404</v>
      </c>
      <c r="E129" t="s">
        <v>409</v>
      </c>
      <c r="F129" s="8" t="s">
        <v>459</v>
      </c>
      <c r="O129" t="s">
        <v>719</v>
      </c>
      <c r="P129" t="s">
        <v>403</v>
      </c>
    </row>
    <row r="130" spans="1:16" x14ac:dyDescent="0.25">
      <c r="A130" t="s">
        <v>570</v>
      </c>
      <c r="B130" t="str">
        <f t="shared" si="1"/>
        <v>PTC5047 - Processar posteriormente a máquina</v>
      </c>
      <c r="D130" t="s">
        <v>404</v>
      </c>
      <c r="E130" t="s">
        <v>409</v>
      </c>
      <c r="F130" s="8" t="s">
        <v>460</v>
      </c>
      <c r="H130" t="s">
        <v>226</v>
      </c>
      <c r="I130" t="s">
        <v>226</v>
      </c>
      <c r="J130" t="s">
        <v>319</v>
      </c>
      <c r="K130" t="s">
        <v>226</v>
      </c>
      <c r="L130" t="s">
        <v>226</v>
      </c>
      <c r="M130" t="s">
        <v>319</v>
      </c>
      <c r="N130" t="s">
        <v>319</v>
      </c>
      <c r="O130" t="s">
        <v>720</v>
      </c>
      <c r="P130" t="s">
        <v>78</v>
      </c>
    </row>
    <row r="131" spans="1:16" x14ac:dyDescent="0.25">
      <c r="A131" s="9" t="s">
        <v>791</v>
      </c>
      <c r="B131" s="9" t="str">
        <f t="shared" ref="B131:B194" si="2">IF(H131="",IF(I131="",IF(J131="",IF(K131="",IF(L131="",IF(M131="",IF(N131="",IF(O131="","",_xlfn.CONCAT(D131,E131,F131," - ",O131)),_xlfn.CONCAT(D131,E131,F131," - ",N131)),_xlfn.CONCAT(D131,E131,F131," - ",M131)),_xlfn.CONCAT(D131,E131,F131," - ",L131)),_xlfn.CONCAT(D131,E131,F131," - ",K131)),_xlfn.CONCAT(D131,E131,F131," - ",J131)),_xlfn.CONCAT(D131,E131,F131," - ",I131)),_xlfn.CONCAT(D131,E131,F131," - ",H131))</f>
        <v>PTC5048 - Desligar o gravador de dados</v>
      </c>
      <c r="D131" t="s">
        <v>404</v>
      </c>
      <c r="E131" t="s">
        <v>409</v>
      </c>
      <c r="F131" s="8" t="s">
        <v>461</v>
      </c>
      <c r="O131" t="s">
        <v>721</v>
      </c>
      <c r="P131" t="s">
        <v>79</v>
      </c>
    </row>
    <row r="132" spans="1:16" x14ac:dyDescent="0.25">
      <c r="A132" t="s">
        <v>571</v>
      </c>
      <c r="B132" t="str">
        <f t="shared" si="2"/>
        <v>PTC5049 - Desligar a tensão de comando</v>
      </c>
      <c r="D132" t="s">
        <v>404</v>
      </c>
      <c r="E132" t="s">
        <v>409</v>
      </c>
      <c r="F132" s="8" t="s">
        <v>462</v>
      </c>
      <c r="H132" t="s">
        <v>227</v>
      </c>
      <c r="I132" t="s">
        <v>227</v>
      </c>
      <c r="J132" t="s">
        <v>320</v>
      </c>
      <c r="K132" t="s">
        <v>227</v>
      </c>
      <c r="L132" t="s">
        <v>227</v>
      </c>
      <c r="M132" t="s">
        <v>320</v>
      </c>
      <c r="N132" t="s">
        <v>320</v>
      </c>
      <c r="O132" t="s">
        <v>722</v>
      </c>
      <c r="P132" t="s">
        <v>80</v>
      </c>
    </row>
    <row r="133" spans="1:16" x14ac:dyDescent="0.25">
      <c r="A133" t="s">
        <v>572</v>
      </c>
      <c r="B133" t="str">
        <f t="shared" si="2"/>
        <v>PTC5050 - Desligar a alimentação de tensão</v>
      </c>
      <c r="D133" t="s">
        <v>404</v>
      </c>
      <c r="E133" t="s">
        <v>409</v>
      </c>
      <c r="F133" s="8" t="s">
        <v>463</v>
      </c>
      <c r="H133" t="s">
        <v>228</v>
      </c>
      <c r="I133" t="s">
        <v>228</v>
      </c>
      <c r="J133" t="s">
        <v>228</v>
      </c>
      <c r="K133" t="s">
        <v>228</v>
      </c>
      <c r="L133" t="s">
        <v>228</v>
      </c>
      <c r="M133" t="s">
        <v>228</v>
      </c>
      <c r="N133" t="s">
        <v>228</v>
      </c>
      <c r="O133" t="s">
        <v>723</v>
      </c>
      <c r="P133" t="s">
        <v>81</v>
      </c>
    </row>
    <row r="134" spans="1:16" x14ac:dyDescent="0.25">
      <c r="A134" t="s">
        <v>573</v>
      </c>
      <c r="B134" t="str">
        <f t="shared" si="2"/>
        <v>PTC5051 - Fechar a alimentação de ar de controle</v>
      </c>
      <c r="D134" t="s">
        <v>404</v>
      </c>
      <c r="E134" t="s">
        <v>409</v>
      </c>
      <c r="F134" s="8" t="s">
        <v>464</v>
      </c>
      <c r="H134" t="s">
        <v>229</v>
      </c>
      <c r="I134" t="s">
        <v>229</v>
      </c>
      <c r="J134" t="s">
        <v>321</v>
      </c>
      <c r="K134" t="s">
        <v>229</v>
      </c>
      <c r="L134" t="s">
        <v>369</v>
      </c>
      <c r="M134" t="s">
        <v>390</v>
      </c>
      <c r="N134" t="s">
        <v>390</v>
      </c>
      <c r="O134" t="s">
        <v>724</v>
      </c>
      <c r="P134" t="s">
        <v>82</v>
      </c>
    </row>
    <row r="135" spans="1:16" x14ac:dyDescent="0.25">
      <c r="A135" t="s">
        <v>574</v>
      </c>
      <c r="B135" t="str">
        <f t="shared" si="2"/>
        <v>PTC6 - Manutenção</v>
      </c>
      <c r="D135" t="s">
        <v>404</v>
      </c>
      <c r="E135" t="s">
        <v>410</v>
      </c>
      <c r="H135" s="2" t="s">
        <v>230</v>
      </c>
      <c r="I135" s="2" t="s">
        <v>230</v>
      </c>
      <c r="J135" s="2" t="s">
        <v>322</v>
      </c>
      <c r="K135" s="2" t="s">
        <v>230</v>
      </c>
      <c r="L135" s="2" t="s">
        <v>230</v>
      </c>
      <c r="M135" s="2" t="s">
        <v>322</v>
      </c>
      <c r="N135" s="2" t="s">
        <v>322</v>
      </c>
      <c r="O135" t="s">
        <v>725</v>
      </c>
      <c r="P135" t="s">
        <v>83</v>
      </c>
    </row>
    <row r="136" spans="1:16" x14ac:dyDescent="0.25">
      <c r="A136" t="s">
        <v>575</v>
      </c>
      <c r="B136" t="str">
        <f t="shared" si="2"/>
        <v>PTC6001 - Observar as normas</v>
      </c>
      <c r="D136" t="s">
        <v>404</v>
      </c>
      <c r="E136" t="s">
        <v>410</v>
      </c>
      <c r="F136" s="8" t="s">
        <v>414</v>
      </c>
      <c r="H136" t="s">
        <v>231</v>
      </c>
      <c r="I136" t="s">
        <v>231</v>
      </c>
      <c r="J136" t="s">
        <v>231</v>
      </c>
      <c r="K136" t="s">
        <v>231</v>
      </c>
      <c r="L136" t="s">
        <v>231</v>
      </c>
      <c r="M136" t="s">
        <v>231</v>
      </c>
      <c r="N136" t="s">
        <v>231</v>
      </c>
      <c r="O136" t="s">
        <v>726</v>
      </c>
      <c r="P136" t="s">
        <v>84</v>
      </c>
    </row>
    <row r="137" spans="1:16" x14ac:dyDescent="0.25">
      <c r="A137" t="s">
        <v>576</v>
      </c>
      <c r="B137" t="str">
        <f t="shared" si="2"/>
        <v>PTC6002 - Desconectar e proteger</v>
      </c>
      <c r="D137" t="s">
        <v>404</v>
      </c>
      <c r="E137" t="s">
        <v>410</v>
      </c>
      <c r="F137" s="8" t="s">
        <v>415</v>
      </c>
      <c r="H137" t="s">
        <v>232</v>
      </c>
      <c r="I137" t="s">
        <v>349</v>
      </c>
      <c r="J137" t="s">
        <v>323</v>
      </c>
      <c r="K137" t="s">
        <v>349</v>
      </c>
      <c r="L137" t="s">
        <v>349</v>
      </c>
      <c r="M137" t="s">
        <v>391</v>
      </c>
      <c r="N137" t="s">
        <v>391</v>
      </c>
      <c r="O137" t="s">
        <v>727</v>
      </c>
      <c r="P137" t="s">
        <v>85</v>
      </c>
    </row>
    <row r="138" spans="1:16" x14ac:dyDescent="0.25">
      <c r="A138" t="s">
        <v>577</v>
      </c>
      <c r="B138" t="str">
        <f t="shared" si="2"/>
        <v>PTC6003 - Esvaziar máquina</v>
      </c>
      <c r="D138" t="s">
        <v>404</v>
      </c>
      <c r="E138" t="s">
        <v>410</v>
      </c>
      <c r="F138" s="8" t="s">
        <v>416</v>
      </c>
      <c r="H138" t="s">
        <v>233</v>
      </c>
      <c r="I138" t="s">
        <v>324</v>
      </c>
      <c r="J138" t="s">
        <v>324</v>
      </c>
      <c r="K138" t="s">
        <v>324</v>
      </c>
      <c r="L138" t="s">
        <v>370</v>
      </c>
      <c r="M138" t="s">
        <v>324</v>
      </c>
      <c r="N138" t="s">
        <v>324</v>
      </c>
      <c r="O138" t="s">
        <v>728</v>
      </c>
      <c r="P138" t="s">
        <v>86</v>
      </c>
    </row>
    <row r="139" spans="1:16" x14ac:dyDescent="0.25">
      <c r="A139" s="9" t="s">
        <v>792</v>
      </c>
      <c r="B139" s="9" t="str">
        <f t="shared" si="2"/>
        <v>PTC6004 - Esvaziamento áreas seguras</v>
      </c>
      <c r="D139" t="s">
        <v>404</v>
      </c>
      <c r="E139" t="s">
        <v>410</v>
      </c>
      <c r="F139" s="8" t="s">
        <v>417</v>
      </c>
      <c r="O139" t="s">
        <v>729</v>
      </c>
      <c r="P139" t="s">
        <v>378</v>
      </c>
    </row>
    <row r="140" spans="1:16" x14ac:dyDescent="0.25">
      <c r="A140" t="s">
        <v>578</v>
      </c>
      <c r="B140" t="str">
        <f t="shared" si="2"/>
        <v>PTC6005 - Encher a máquina com água</v>
      </c>
      <c r="D140" t="s">
        <v>404</v>
      </c>
      <c r="E140" t="s">
        <v>410</v>
      </c>
      <c r="F140" s="8" t="s">
        <v>418</v>
      </c>
      <c r="H140" t="s">
        <v>234</v>
      </c>
      <c r="I140" t="s">
        <v>234</v>
      </c>
      <c r="J140" t="s">
        <v>325</v>
      </c>
      <c r="K140" t="s">
        <v>234</v>
      </c>
      <c r="L140" t="s">
        <v>234</v>
      </c>
      <c r="M140" t="s">
        <v>325</v>
      </c>
      <c r="N140" t="s">
        <v>325</v>
      </c>
      <c r="O140" t="s">
        <v>234</v>
      </c>
      <c r="P140" t="s">
        <v>87</v>
      </c>
    </row>
    <row r="141" spans="1:16" x14ac:dyDescent="0.25">
      <c r="A141" t="s">
        <v>579</v>
      </c>
      <c r="B141" t="str">
        <f t="shared" si="2"/>
        <v>PTC6006 - Manutenção preventiva</v>
      </c>
      <c r="D141" t="s">
        <v>404</v>
      </c>
      <c r="E141" t="s">
        <v>410</v>
      </c>
      <c r="F141" s="8" t="s">
        <v>419</v>
      </c>
      <c r="H141" t="s">
        <v>235</v>
      </c>
      <c r="I141" t="s">
        <v>235</v>
      </c>
      <c r="J141" t="s">
        <v>230</v>
      </c>
      <c r="K141" t="s">
        <v>235</v>
      </c>
      <c r="L141" t="s">
        <v>235</v>
      </c>
      <c r="M141" t="s">
        <v>230</v>
      </c>
      <c r="N141" t="s">
        <v>230</v>
      </c>
      <c r="O141" t="s">
        <v>230</v>
      </c>
      <c r="P141" t="s">
        <v>88</v>
      </c>
    </row>
    <row r="142" spans="1:16" x14ac:dyDescent="0.25">
      <c r="A142" t="s">
        <v>580</v>
      </c>
      <c r="B142" t="str">
        <f t="shared" si="2"/>
        <v>PTC6007 - Avisos de segurança</v>
      </c>
      <c r="D142" t="s">
        <v>404</v>
      </c>
      <c r="E142" t="s">
        <v>410</v>
      </c>
      <c r="F142" s="8" t="s">
        <v>420</v>
      </c>
      <c r="H142" t="s">
        <v>199</v>
      </c>
      <c r="I142" t="s">
        <v>199</v>
      </c>
      <c r="J142" t="s">
        <v>304</v>
      </c>
      <c r="K142" t="s">
        <v>199</v>
      </c>
      <c r="L142" t="s">
        <v>199</v>
      </c>
      <c r="M142" t="s">
        <v>304</v>
      </c>
      <c r="N142" t="s">
        <v>304</v>
      </c>
      <c r="O142" t="s">
        <v>683</v>
      </c>
      <c r="P142" t="s">
        <v>48</v>
      </c>
    </row>
    <row r="143" spans="1:16" x14ac:dyDescent="0.25">
      <c r="A143" t="s">
        <v>581</v>
      </c>
      <c r="B143" t="str">
        <f t="shared" si="2"/>
        <v>PTC6008 - Instruções sobre as práticas de manutenção preventiva</v>
      </c>
      <c r="D143" t="s">
        <v>404</v>
      </c>
      <c r="E143" t="s">
        <v>410</v>
      </c>
      <c r="F143" s="8" t="s">
        <v>421</v>
      </c>
      <c r="H143" t="s">
        <v>236</v>
      </c>
      <c r="I143" t="s">
        <v>236</v>
      </c>
      <c r="J143" t="s">
        <v>326</v>
      </c>
      <c r="K143" t="s">
        <v>236</v>
      </c>
      <c r="L143" t="s">
        <v>236</v>
      </c>
      <c r="M143" t="s">
        <v>326</v>
      </c>
      <c r="N143" t="s">
        <v>326</v>
      </c>
      <c r="O143" t="s">
        <v>730</v>
      </c>
      <c r="P143" t="s">
        <v>89</v>
      </c>
    </row>
    <row r="144" spans="1:16" x14ac:dyDescent="0.25">
      <c r="A144" t="s">
        <v>582</v>
      </c>
      <c r="B144" t="str">
        <f t="shared" si="2"/>
        <v>PTC6009 - Condições prévias</v>
      </c>
      <c r="D144" t="s">
        <v>404</v>
      </c>
      <c r="E144" t="s">
        <v>410</v>
      </c>
      <c r="F144" s="8" t="s">
        <v>422</v>
      </c>
      <c r="H144" t="s">
        <v>237</v>
      </c>
      <c r="I144" t="s">
        <v>237</v>
      </c>
      <c r="J144" t="s">
        <v>237</v>
      </c>
      <c r="K144" t="s">
        <v>237</v>
      </c>
      <c r="L144" t="s">
        <v>237</v>
      </c>
      <c r="M144" t="s">
        <v>237</v>
      </c>
      <c r="N144" t="s">
        <v>237</v>
      </c>
      <c r="O144" t="s">
        <v>731</v>
      </c>
      <c r="P144" t="s">
        <v>90</v>
      </c>
    </row>
    <row r="145" spans="1:16" x14ac:dyDescent="0.25">
      <c r="A145" t="s">
        <v>583</v>
      </c>
      <c r="B145" t="str">
        <f t="shared" si="2"/>
        <v>PTC6010 - Preparar</v>
      </c>
      <c r="D145" t="s">
        <v>404</v>
      </c>
      <c r="E145" t="s">
        <v>410</v>
      </c>
      <c r="F145" s="8" t="s">
        <v>423</v>
      </c>
      <c r="H145" t="s">
        <v>221</v>
      </c>
      <c r="J145" t="s">
        <v>221</v>
      </c>
      <c r="O145" t="s">
        <v>221</v>
      </c>
      <c r="P145" t="s">
        <v>221</v>
      </c>
    </row>
    <row r="146" spans="1:16" x14ac:dyDescent="0.25">
      <c r="A146" t="s">
        <v>584</v>
      </c>
      <c r="B146" t="str">
        <f t="shared" si="2"/>
        <v>PTC6011 - Plano de manutenção preventiva</v>
      </c>
      <c r="D146" t="s">
        <v>404</v>
      </c>
      <c r="E146" t="s">
        <v>410</v>
      </c>
      <c r="F146" s="8" t="s">
        <v>424</v>
      </c>
      <c r="H146" t="s">
        <v>238</v>
      </c>
      <c r="I146" t="s">
        <v>238</v>
      </c>
      <c r="J146" t="s">
        <v>327</v>
      </c>
      <c r="K146" t="s">
        <v>238</v>
      </c>
      <c r="L146" t="s">
        <v>238</v>
      </c>
      <c r="M146" t="s">
        <v>327</v>
      </c>
      <c r="N146" t="s">
        <v>327</v>
      </c>
      <c r="O146" t="s">
        <v>732</v>
      </c>
      <c r="P146" t="s">
        <v>91</v>
      </c>
    </row>
    <row r="147" spans="1:16" x14ac:dyDescent="0.25">
      <c r="A147" t="s">
        <v>585</v>
      </c>
      <c r="B147" t="str">
        <f t="shared" si="2"/>
        <v>PTC6012 - Verificar o funcionamento interruptor de parada de emergência</v>
      </c>
      <c r="D147" t="s">
        <v>404</v>
      </c>
      <c r="E147" t="s">
        <v>410</v>
      </c>
      <c r="F147" s="8" t="s">
        <v>425</v>
      </c>
      <c r="H147" t="s">
        <v>239</v>
      </c>
      <c r="I147" t="s">
        <v>239</v>
      </c>
      <c r="J147" t="s">
        <v>328</v>
      </c>
      <c r="K147" t="s">
        <v>239</v>
      </c>
      <c r="L147" t="s">
        <v>371</v>
      </c>
      <c r="M147" t="s">
        <v>328</v>
      </c>
      <c r="N147" t="s">
        <v>328</v>
      </c>
      <c r="O147" t="s">
        <v>328</v>
      </c>
      <c r="P147" t="s">
        <v>92</v>
      </c>
    </row>
    <row r="148" spans="1:16" x14ac:dyDescent="0.25">
      <c r="A148" t="s">
        <v>586</v>
      </c>
      <c r="B148" t="str">
        <f t="shared" si="2"/>
        <v>PTC6013 - Fazer a manutenção do recipiente pressurizado</v>
      </c>
      <c r="D148" t="s">
        <v>404</v>
      </c>
      <c r="E148" t="s">
        <v>410</v>
      </c>
      <c r="F148" s="8" t="s">
        <v>426</v>
      </c>
      <c r="J148" t="s">
        <v>329</v>
      </c>
      <c r="L148" t="s">
        <v>372</v>
      </c>
      <c r="O148" t="s">
        <v>733</v>
      </c>
      <c r="P148" t="s">
        <v>93</v>
      </c>
    </row>
    <row r="149" spans="1:16" x14ac:dyDescent="0.25">
      <c r="A149" t="s">
        <v>587</v>
      </c>
      <c r="B149" t="str">
        <f t="shared" si="2"/>
        <v>PTC6014 - Executar teste de lâmpadas</v>
      </c>
      <c r="D149" t="s">
        <v>404</v>
      </c>
      <c r="E149" t="s">
        <v>410</v>
      </c>
      <c r="F149" s="8" t="s">
        <v>427</v>
      </c>
      <c r="H149" t="s">
        <v>240</v>
      </c>
      <c r="I149" t="s">
        <v>240</v>
      </c>
      <c r="J149" t="s">
        <v>330</v>
      </c>
      <c r="K149" t="s">
        <v>240</v>
      </c>
      <c r="L149" t="s">
        <v>240</v>
      </c>
      <c r="M149" t="s">
        <v>330</v>
      </c>
      <c r="N149" t="s">
        <v>330</v>
      </c>
      <c r="O149" t="s">
        <v>734</v>
      </c>
      <c r="P149" t="s">
        <v>94</v>
      </c>
    </row>
    <row r="150" spans="1:16" x14ac:dyDescent="0.25">
      <c r="A150" s="9" t="s">
        <v>793</v>
      </c>
      <c r="B150" s="9" t="str">
        <f t="shared" si="2"/>
        <v>PTC6015 - Mantendo a sujeira recolha de filtro na alimentação primária</v>
      </c>
      <c r="D150" t="s">
        <v>404</v>
      </c>
      <c r="E150" t="s">
        <v>410</v>
      </c>
      <c r="F150" s="8" t="s">
        <v>428</v>
      </c>
      <c r="O150" t="s">
        <v>735</v>
      </c>
      <c r="P150" t="s">
        <v>379</v>
      </c>
    </row>
    <row r="151" spans="1:16" x14ac:dyDescent="0.25">
      <c r="A151" s="9" t="s">
        <v>794</v>
      </c>
      <c r="B151" s="9" t="str">
        <f t="shared" si="2"/>
        <v>PTC6016 - Manutenção da sujidade recolha de filtro no retorno</v>
      </c>
      <c r="D151" t="s">
        <v>404</v>
      </c>
      <c r="E151" t="s">
        <v>410</v>
      </c>
      <c r="F151" s="8" t="s">
        <v>429</v>
      </c>
      <c r="O151" t="s">
        <v>736</v>
      </c>
      <c r="P151" t="s">
        <v>380</v>
      </c>
    </row>
    <row r="152" spans="1:16" x14ac:dyDescent="0.25">
      <c r="A152" t="s">
        <v>588</v>
      </c>
      <c r="B152" t="str">
        <f t="shared" si="2"/>
        <v>PTC6017 - Vistoriar as vedações</v>
      </c>
      <c r="D152" t="s">
        <v>404</v>
      </c>
      <c r="E152" t="s">
        <v>410</v>
      </c>
      <c r="F152" s="8" t="s">
        <v>430</v>
      </c>
      <c r="H152" t="s">
        <v>241</v>
      </c>
      <c r="I152" t="s">
        <v>241</v>
      </c>
      <c r="J152" t="s">
        <v>331</v>
      </c>
      <c r="K152" t="s">
        <v>241</v>
      </c>
      <c r="L152" t="s">
        <v>241</v>
      </c>
      <c r="M152" t="s">
        <v>331</v>
      </c>
      <c r="N152" t="s">
        <v>331</v>
      </c>
      <c r="O152" t="s">
        <v>737</v>
      </c>
      <c r="P152" t="s">
        <v>95</v>
      </c>
    </row>
    <row r="153" spans="1:16" x14ac:dyDescent="0.25">
      <c r="A153" t="s">
        <v>589</v>
      </c>
      <c r="B153" t="str">
        <f t="shared" si="2"/>
        <v>PTC6018 - Apertar as uniões roscadas da tubulação de leite</v>
      </c>
      <c r="D153" t="s">
        <v>404</v>
      </c>
      <c r="E153" t="s">
        <v>410</v>
      </c>
      <c r="F153" s="8" t="s">
        <v>431</v>
      </c>
      <c r="H153" t="s">
        <v>242</v>
      </c>
      <c r="I153" t="s">
        <v>242</v>
      </c>
      <c r="J153" t="s">
        <v>332</v>
      </c>
      <c r="K153" t="s">
        <v>242</v>
      </c>
      <c r="L153" t="s">
        <v>242</v>
      </c>
      <c r="M153" t="s">
        <v>392</v>
      </c>
      <c r="N153" t="s">
        <v>392</v>
      </c>
      <c r="O153" t="s">
        <v>738</v>
      </c>
      <c r="P153" t="s">
        <v>96</v>
      </c>
    </row>
    <row r="154" spans="1:16" x14ac:dyDescent="0.25">
      <c r="A154" t="s">
        <v>590</v>
      </c>
      <c r="B154" t="str">
        <f t="shared" si="2"/>
        <v>PTC6019 - Manutenção de peças adquiridas</v>
      </c>
      <c r="D154" t="s">
        <v>404</v>
      </c>
      <c r="E154" t="s">
        <v>410</v>
      </c>
      <c r="F154" s="8" t="s">
        <v>432</v>
      </c>
      <c r="H154" t="s">
        <v>243</v>
      </c>
      <c r="I154" t="s">
        <v>243</v>
      </c>
      <c r="J154" t="s">
        <v>333</v>
      </c>
      <c r="K154" t="s">
        <v>243</v>
      </c>
      <c r="L154" t="s">
        <v>243</v>
      </c>
      <c r="M154" t="s">
        <v>333</v>
      </c>
      <c r="N154" t="s">
        <v>333</v>
      </c>
      <c r="O154" t="s">
        <v>739</v>
      </c>
      <c r="P154" t="s">
        <v>97</v>
      </c>
    </row>
    <row r="155" spans="1:16" x14ac:dyDescent="0.25">
      <c r="A155" t="s">
        <v>591</v>
      </c>
      <c r="B155" t="str">
        <f t="shared" si="2"/>
        <v>PTC6020 - Limpar superfícies</v>
      </c>
      <c r="D155" t="s">
        <v>404</v>
      </c>
      <c r="E155" t="s">
        <v>410</v>
      </c>
      <c r="F155" s="8" t="s">
        <v>433</v>
      </c>
      <c r="H155" t="s">
        <v>244</v>
      </c>
      <c r="I155" t="s">
        <v>244</v>
      </c>
      <c r="J155" t="s">
        <v>244</v>
      </c>
      <c r="K155" t="s">
        <v>244</v>
      </c>
      <c r="L155" t="s">
        <v>244</v>
      </c>
      <c r="M155" t="s">
        <v>244</v>
      </c>
      <c r="N155" t="s">
        <v>244</v>
      </c>
      <c r="O155" t="s">
        <v>740</v>
      </c>
      <c r="P155" t="s">
        <v>98</v>
      </c>
    </row>
    <row r="156" spans="1:16" x14ac:dyDescent="0.25">
      <c r="A156" t="s">
        <v>592</v>
      </c>
      <c r="B156" t="str">
        <f t="shared" si="2"/>
        <v>PTC6021 - Reparo</v>
      </c>
      <c r="D156" t="s">
        <v>404</v>
      </c>
      <c r="E156" t="s">
        <v>410</v>
      </c>
      <c r="F156" s="8" t="s">
        <v>434</v>
      </c>
      <c r="H156" t="s">
        <v>245</v>
      </c>
      <c r="I156" t="s">
        <v>245</v>
      </c>
      <c r="J156" t="s">
        <v>334</v>
      </c>
      <c r="K156" t="s">
        <v>245</v>
      </c>
      <c r="L156" t="s">
        <v>245</v>
      </c>
      <c r="M156" t="s">
        <v>334</v>
      </c>
      <c r="N156" t="s">
        <v>334</v>
      </c>
      <c r="O156" t="s">
        <v>741</v>
      </c>
      <c r="P156" t="s">
        <v>99</v>
      </c>
    </row>
    <row r="157" spans="1:16" x14ac:dyDescent="0.25">
      <c r="A157" t="s">
        <v>593</v>
      </c>
      <c r="B157" t="str">
        <f t="shared" si="2"/>
        <v>PTC7 - Falhas</v>
      </c>
      <c r="D157" t="s">
        <v>404</v>
      </c>
      <c r="E157" t="s">
        <v>411</v>
      </c>
      <c r="H157" s="2" t="s">
        <v>246</v>
      </c>
      <c r="I157" s="2" t="s">
        <v>246</v>
      </c>
      <c r="J157" s="2" t="s">
        <v>335</v>
      </c>
      <c r="K157" s="2" t="s">
        <v>246</v>
      </c>
      <c r="L157" s="2" t="s">
        <v>246</v>
      </c>
      <c r="M157" s="2" t="s">
        <v>335</v>
      </c>
      <c r="N157" s="2" t="s">
        <v>335</v>
      </c>
      <c r="O157" t="s">
        <v>742</v>
      </c>
      <c r="P157" t="s">
        <v>100</v>
      </c>
    </row>
    <row r="158" spans="1:16" x14ac:dyDescent="0.25">
      <c r="A158" t="s">
        <v>594</v>
      </c>
      <c r="B158" t="str">
        <f t="shared" si="2"/>
        <v>PTC7001 - Avisos de segurança</v>
      </c>
      <c r="D158" t="s">
        <v>404</v>
      </c>
      <c r="E158" t="s">
        <v>411</v>
      </c>
      <c r="F158" s="8" t="s">
        <v>414</v>
      </c>
      <c r="H158" t="s">
        <v>199</v>
      </c>
      <c r="I158" t="s">
        <v>199</v>
      </c>
      <c r="J158" t="s">
        <v>304</v>
      </c>
      <c r="K158" t="s">
        <v>199</v>
      </c>
      <c r="L158" t="s">
        <v>199</v>
      </c>
      <c r="M158" t="s">
        <v>304</v>
      </c>
      <c r="N158" t="s">
        <v>304</v>
      </c>
      <c r="O158" t="s">
        <v>683</v>
      </c>
      <c r="P158" t="s">
        <v>48</v>
      </c>
    </row>
    <row r="159" spans="1:16" x14ac:dyDescent="0.25">
      <c r="A159" t="s">
        <v>595</v>
      </c>
      <c r="B159" t="str">
        <f t="shared" si="2"/>
        <v>PTC7002 - Detectar</v>
      </c>
      <c r="D159" t="s">
        <v>404</v>
      </c>
      <c r="E159" t="s">
        <v>411</v>
      </c>
      <c r="F159" s="8" t="s">
        <v>415</v>
      </c>
      <c r="H159" t="s">
        <v>247</v>
      </c>
      <c r="I159" t="s">
        <v>247</v>
      </c>
      <c r="J159" t="s">
        <v>336</v>
      </c>
      <c r="K159" t="s">
        <v>247</v>
      </c>
      <c r="L159" t="s">
        <v>247</v>
      </c>
      <c r="M159" t="s">
        <v>336</v>
      </c>
      <c r="N159" t="s">
        <v>336</v>
      </c>
      <c r="O159" t="s">
        <v>743</v>
      </c>
      <c r="P159" t="s">
        <v>101</v>
      </c>
    </row>
    <row r="160" spans="1:16" x14ac:dyDescent="0.25">
      <c r="A160" t="s">
        <v>596</v>
      </c>
      <c r="B160" t="str">
        <f t="shared" si="2"/>
        <v>PTC7003 - Eliminar</v>
      </c>
      <c r="D160" t="s">
        <v>404</v>
      </c>
      <c r="E160" t="s">
        <v>411</v>
      </c>
      <c r="F160" s="8" t="s">
        <v>416</v>
      </c>
      <c r="H160" t="s">
        <v>248</v>
      </c>
      <c r="I160" t="s">
        <v>248</v>
      </c>
      <c r="J160" t="s">
        <v>248</v>
      </c>
      <c r="K160" t="s">
        <v>248</v>
      </c>
      <c r="L160" t="s">
        <v>248</v>
      </c>
      <c r="M160" t="s">
        <v>248</v>
      </c>
      <c r="N160" t="s">
        <v>248</v>
      </c>
      <c r="O160" t="s">
        <v>744</v>
      </c>
      <c r="P160" t="s">
        <v>102</v>
      </c>
    </row>
    <row r="161" spans="1:16" x14ac:dyDescent="0.25">
      <c r="A161" t="s">
        <v>597</v>
      </c>
      <c r="B161" t="str">
        <f t="shared" si="2"/>
        <v>PTC8 - Dados técnicos</v>
      </c>
      <c r="D161" t="s">
        <v>404</v>
      </c>
      <c r="E161" t="s">
        <v>412</v>
      </c>
      <c r="H161" s="2" t="s">
        <v>249</v>
      </c>
      <c r="I161" s="2" t="s">
        <v>249</v>
      </c>
      <c r="J161" s="2" t="s">
        <v>249</v>
      </c>
      <c r="K161" s="2" t="s">
        <v>249</v>
      </c>
      <c r="L161" s="2" t="s">
        <v>249</v>
      </c>
      <c r="M161" s="2" t="s">
        <v>249</v>
      </c>
      <c r="N161" s="2" t="s">
        <v>249</v>
      </c>
      <c r="O161" t="s">
        <v>249</v>
      </c>
      <c r="P161" t="s">
        <v>103</v>
      </c>
    </row>
    <row r="162" spans="1:16" x14ac:dyDescent="0.25">
      <c r="A162" t="s">
        <v>598</v>
      </c>
      <c r="B162" t="str">
        <f t="shared" si="2"/>
        <v>PTC8001 - Condições ambientais</v>
      </c>
      <c r="D162" t="s">
        <v>404</v>
      </c>
      <c r="E162" t="s">
        <v>412</v>
      </c>
      <c r="F162" s="8" t="s">
        <v>414</v>
      </c>
      <c r="H162" t="s">
        <v>250</v>
      </c>
      <c r="I162" t="s">
        <v>250</v>
      </c>
      <c r="J162" t="s">
        <v>337</v>
      </c>
      <c r="K162" t="s">
        <v>250</v>
      </c>
      <c r="L162" t="s">
        <v>250</v>
      </c>
      <c r="M162" t="s">
        <v>337</v>
      </c>
      <c r="N162" t="s">
        <v>337</v>
      </c>
      <c r="O162" t="s">
        <v>745</v>
      </c>
      <c r="P162" t="s">
        <v>104</v>
      </c>
    </row>
    <row r="163" spans="1:16" x14ac:dyDescent="0.25">
      <c r="A163" t="s">
        <v>599</v>
      </c>
      <c r="B163" t="str">
        <f t="shared" si="2"/>
        <v>PTC8002 - Requisitos para fluidos</v>
      </c>
      <c r="D163" t="s">
        <v>404</v>
      </c>
      <c r="E163" t="s">
        <v>412</v>
      </c>
      <c r="F163" s="8" t="s">
        <v>415</v>
      </c>
      <c r="H163" t="s">
        <v>251</v>
      </c>
      <c r="I163" t="s">
        <v>251</v>
      </c>
      <c r="J163" t="s">
        <v>251</v>
      </c>
      <c r="K163" t="s">
        <v>251</v>
      </c>
      <c r="L163" t="s">
        <v>251</v>
      </c>
      <c r="M163" t="s">
        <v>251</v>
      </c>
      <c r="N163" t="s">
        <v>251</v>
      </c>
      <c r="O163" t="s">
        <v>746</v>
      </c>
      <c r="P163" t="s">
        <v>105</v>
      </c>
    </row>
    <row r="164" spans="1:16" x14ac:dyDescent="0.25">
      <c r="A164" s="9" t="s">
        <v>774</v>
      </c>
      <c r="B164" s="9" t="str">
        <f t="shared" si="2"/>
        <v>PTC8003 - Energia elétrica</v>
      </c>
      <c r="D164" t="s">
        <v>404</v>
      </c>
      <c r="E164" t="s">
        <v>412</v>
      </c>
      <c r="F164" s="8" t="s">
        <v>416</v>
      </c>
      <c r="O164" t="s">
        <v>747</v>
      </c>
      <c r="P164" t="s">
        <v>144</v>
      </c>
    </row>
    <row r="165" spans="1:16" x14ac:dyDescent="0.25">
      <c r="A165" s="9" t="s">
        <v>775</v>
      </c>
      <c r="B165" s="9" t="str">
        <f t="shared" si="2"/>
        <v>PTC8004 - Operação</v>
      </c>
      <c r="D165" t="s">
        <v>404</v>
      </c>
      <c r="E165" t="s">
        <v>412</v>
      </c>
      <c r="F165" s="8" t="s">
        <v>417</v>
      </c>
      <c r="O165" t="s">
        <v>208</v>
      </c>
      <c r="P165" t="s">
        <v>57</v>
      </c>
    </row>
    <row r="166" spans="1:16" x14ac:dyDescent="0.25">
      <c r="A166" s="9" t="s">
        <v>795</v>
      </c>
      <c r="B166" s="9" t="str">
        <f t="shared" si="2"/>
        <v>PTC8005 - especificações da máquina</v>
      </c>
      <c r="D166" t="s">
        <v>404</v>
      </c>
      <c r="E166" t="s">
        <v>412</v>
      </c>
      <c r="F166" s="8" t="s">
        <v>418</v>
      </c>
      <c r="O166" t="s">
        <v>748</v>
      </c>
      <c r="P166" t="s">
        <v>114</v>
      </c>
    </row>
    <row r="167" spans="1:16" x14ac:dyDescent="0.25">
      <c r="A167" s="9" t="s">
        <v>796</v>
      </c>
      <c r="B167" s="9" t="str">
        <f t="shared" si="2"/>
        <v>PTC8006 - dados de abastecimento</v>
      </c>
      <c r="D167" t="s">
        <v>404</v>
      </c>
      <c r="E167" t="s">
        <v>412</v>
      </c>
      <c r="F167" s="8" t="s">
        <v>419</v>
      </c>
      <c r="O167" t="s">
        <v>749</v>
      </c>
      <c r="P167" t="s">
        <v>115</v>
      </c>
    </row>
    <row r="168" spans="1:16" x14ac:dyDescent="0.25">
      <c r="A168" t="s">
        <v>600</v>
      </c>
      <c r="B168" t="str">
        <f t="shared" si="2"/>
        <v>PTC8007 - Explicação de termos</v>
      </c>
      <c r="D168" t="s">
        <v>404</v>
      </c>
      <c r="E168" t="s">
        <v>412</v>
      </c>
      <c r="F168" s="8" t="s">
        <v>420</v>
      </c>
      <c r="H168" t="s">
        <v>252</v>
      </c>
      <c r="I168" t="s">
        <v>252</v>
      </c>
      <c r="J168" t="s">
        <v>252</v>
      </c>
      <c r="K168" t="s">
        <v>252</v>
      </c>
      <c r="L168" t="s">
        <v>252</v>
      </c>
      <c r="M168" t="s">
        <v>252</v>
      </c>
      <c r="N168" t="s">
        <v>252</v>
      </c>
      <c r="O168" t="s">
        <v>750</v>
      </c>
      <c r="P168" t="s">
        <v>106</v>
      </c>
    </row>
    <row r="169" spans="1:16" x14ac:dyDescent="0.25">
      <c r="A169" t="s">
        <v>601</v>
      </c>
      <c r="B169" t="str">
        <f t="shared" si="2"/>
        <v>PTC8008 - Água</v>
      </c>
      <c r="D169" t="s">
        <v>404</v>
      </c>
      <c r="E169" t="s">
        <v>412</v>
      </c>
      <c r="F169" s="8" t="s">
        <v>421</v>
      </c>
      <c r="H169" t="s">
        <v>253</v>
      </c>
      <c r="I169" t="s">
        <v>253</v>
      </c>
      <c r="J169" t="s">
        <v>253</v>
      </c>
      <c r="K169" t="s">
        <v>253</v>
      </c>
      <c r="L169" t="s">
        <v>253</v>
      </c>
      <c r="M169" t="s">
        <v>253</v>
      </c>
      <c r="N169" t="s">
        <v>253</v>
      </c>
      <c r="O169" t="s">
        <v>253</v>
      </c>
      <c r="P169" t="s">
        <v>107</v>
      </c>
    </row>
    <row r="170" spans="1:16" x14ac:dyDescent="0.25">
      <c r="A170" t="s">
        <v>602</v>
      </c>
      <c r="B170" t="str">
        <f t="shared" si="2"/>
        <v>PTC8009 - Ar</v>
      </c>
      <c r="D170" t="s">
        <v>404</v>
      </c>
      <c r="E170" t="s">
        <v>412</v>
      </c>
      <c r="F170" s="8" t="s">
        <v>422</v>
      </c>
      <c r="H170" t="s">
        <v>254</v>
      </c>
      <c r="I170" t="s">
        <v>254</v>
      </c>
      <c r="J170" t="s">
        <v>254</v>
      </c>
      <c r="K170" t="s">
        <v>254</v>
      </c>
      <c r="L170" t="s">
        <v>254</v>
      </c>
      <c r="M170" t="s">
        <v>254</v>
      </c>
      <c r="N170" t="s">
        <v>254</v>
      </c>
      <c r="O170" t="s">
        <v>254</v>
      </c>
      <c r="P170" t="s">
        <v>108</v>
      </c>
    </row>
    <row r="171" spans="1:16" x14ac:dyDescent="0.25">
      <c r="A171" t="s">
        <v>603</v>
      </c>
      <c r="B171" t="str">
        <f t="shared" si="2"/>
        <v>PTC8010 - Vapor</v>
      </c>
      <c r="D171" t="s">
        <v>404</v>
      </c>
      <c r="E171" t="s">
        <v>412</v>
      </c>
      <c r="F171" s="8" t="s">
        <v>423</v>
      </c>
      <c r="H171" t="s">
        <v>255</v>
      </c>
      <c r="I171" t="s">
        <v>255</v>
      </c>
      <c r="J171" t="s">
        <v>255</v>
      </c>
      <c r="K171" t="s">
        <v>255</v>
      </c>
      <c r="L171" t="s">
        <v>255</v>
      </c>
      <c r="M171" t="s">
        <v>255</v>
      </c>
      <c r="N171" t="s">
        <v>255</v>
      </c>
      <c r="O171" t="s">
        <v>255</v>
      </c>
      <c r="P171" t="s">
        <v>109</v>
      </c>
    </row>
    <row r="172" spans="1:16" x14ac:dyDescent="0.25">
      <c r="A172" t="s">
        <v>604</v>
      </c>
      <c r="B172" t="str">
        <f t="shared" si="2"/>
        <v>PTC8011 - Recomendações de limpeza</v>
      </c>
      <c r="D172" t="s">
        <v>404</v>
      </c>
      <c r="E172" t="s">
        <v>412</v>
      </c>
      <c r="F172" s="8" t="s">
        <v>424</v>
      </c>
      <c r="H172" t="s">
        <v>256</v>
      </c>
      <c r="I172" t="s">
        <v>256</v>
      </c>
      <c r="J172" t="s">
        <v>256</v>
      </c>
      <c r="K172" t="s">
        <v>256</v>
      </c>
      <c r="L172" t="s">
        <v>256</v>
      </c>
      <c r="M172" t="s">
        <v>256</v>
      </c>
      <c r="N172" t="s">
        <v>256</v>
      </c>
      <c r="O172" t="s">
        <v>751</v>
      </c>
      <c r="P172" t="s">
        <v>110</v>
      </c>
    </row>
    <row r="173" spans="1:16" x14ac:dyDescent="0.25">
      <c r="A173" t="s">
        <v>605</v>
      </c>
      <c r="B173" t="str">
        <f t="shared" si="2"/>
        <v>PTC8012 - Higiene do ambiente (piso, paredes, ralos, esteiras)</v>
      </c>
      <c r="D173" t="s">
        <v>404</v>
      </c>
      <c r="E173" t="s">
        <v>412</v>
      </c>
      <c r="F173" s="8" t="s">
        <v>425</v>
      </c>
      <c r="H173" t="s">
        <v>257</v>
      </c>
      <c r="I173" t="s">
        <v>257</v>
      </c>
      <c r="J173" t="s">
        <v>338</v>
      </c>
      <c r="K173" t="s">
        <v>257</v>
      </c>
      <c r="L173" t="s">
        <v>257</v>
      </c>
      <c r="M173" t="s">
        <v>338</v>
      </c>
      <c r="N173" t="s">
        <v>338</v>
      </c>
      <c r="O173" t="s">
        <v>752</v>
      </c>
      <c r="P173" t="s">
        <v>111</v>
      </c>
    </row>
    <row r="174" spans="1:16" x14ac:dyDescent="0.25">
      <c r="A174" t="s">
        <v>606</v>
      </c>
      <c r="B174" t="str">
        <f t="shared" si="2"/>
        <v>PTC8013 - Limpeza externa: máquinas selecionadas</v>
      </c>
      <c r="D174" t="s">
        <v>404</v>
      </c>
      <c r="E174" t="s">
        <v>412</v>
      </c>
      <c r="F174" s="8" t="s">
        <v>426</v>
      </c>
      <c r="H174" t="s">
        <v>258</v>
      </c>
      <c r="I174" t="s">
        <v>258</v>
      </c>
      <c r="J174" t="s">
        <v>339</v>
      </c>
      <c r="K174" t="s">
        <v>258</v>
      </c>
      <c r="L174" t="s">
        <v>258</v>
      </c>
      <c r="M174" t="s">
        <v>339</v>
      </c>
      <c r="N174" t="s">
        <v>339</v>
      </c>
      <c r="O174" t="s">
        <v>258</v>
      </c>
      <c r="P174" t="s">
        <v>112</v>
      </c>
    </row>
    <row r="175" spans="1:16" x14ac:dyDescent="0.25">
      <c r="A175" t="s">
        <v>607</v>
      </c>
      <c r="B175" t="str">
        <f t="shared" si="2"/>
        <v>PTC8014 - Passivação</v>
      </c>
      <c r="D175" t="s">
        <v>404</v>
      </c>
      <c r="E175" t="s">
        <v>412</v>
      </c>
      <c r="F175" s="8" t="s">
        <v>427</v>
      </c>
      <c r="H175" t="s">
        <v>259</v>
      </c>
      <c r="I175" t="s">
        <v>259</v>
      </c>
      <c r="J175" t="s">
        <v>259</v>
      </c>
      <c r="K175" t="s">
        <v>259</v>
      </c>
      <c r="L175" t="s">
        <v>259</v>
      </c>
      <c r="M175" t="s">
        <v>259</v>
      </c>
      <c r="N175" t="s">
        <v>259</v>
      </c>
      <c r="O175" t="s">
        <v>259</v>
      </c>
      <c r="P175" t="s">
        <v>113</v>
      </c>
    </row>
    <row r="176" spans="1:16" x14ac:dyDescent="0.25">
      <c r="A176" t="s">
        <v>608</v>
      </c>
      <c r="B176" t="str">
        <f t="shared" si="2"/>
        <v>PTC8015 - Operação</v>
      </c>
      <c r="D176" t="s">
        <v>404</v>
      </c>
      <c r="E176" t="s">
        <v>412</v>
      </c>
      <c r="F176" s="8" t="s">
        <v>428</v>
      </c>
      <c r="H176" t="s">
        <v>208</v>
      </c>
      <c r="I176" t="s">
        <v>208</v>
      </c>
      <c r="J176" t="s">
        <v>208</v>
      </c>
      <c r="K176" t="s">
        <v>208</v>
      </c>
      <c r="L176" t="s">
        <v>208</v>
      </c>
      <c r="M176" t="s">
        <v>208</v>
      </c>
      <c r="N176" t="s">
        <v>208</v>
      </c>
      <c r="O176" t="s">
        <v>208</v>
      </c>
      <c r="P176" t="s">
        <v>57</v>
      </c>
    </row>
    <row r="177" spans="1:16" x14ac:dyDescent="0.25">
      <c r="A177" t="s">
        <v>609</v>
      </c>
      <c r="B177" t="str">
        <f t="shared" si="2"/>
        <v>PTC8016 - Dados da máquina</v>
      </c>
      <c r="D177" t="s">
        <v>404</v>
      </c>
      <c r="E177" t="s">
        <v>412</v>
      </c>
      <c r="F177" s="8" t="s">
        <v>429</v>
      </c>
      <c r="H177" t="s">
        <v>260</v>
      </c>
      <c r="I177" t="s">
        <v>260</v>
      </c>
      <c r="J177" t="s">
        <v>260</v>
      </c>
      <c r="K177" t="s">
        <v>260</v>
      </c>
      <c r="L177" t="s">
        <v>260</v>
      </c>
      <c r="M177" t="s">
        <v>260</v>
      </c>
      <c r="N177" t="s">
        <v>260</v>
      </c>
      <c r="O177" t="s">
        <v>748</v>
      </c>
      <c r="P177" t="s">
        <v>114</v>
      </c>
    </row>
    <row r="178" spans="1:16" x14ac:dyDescent="0.25">
      <c r="A178" t="s">
        <v>610</v>
      </c>
      <c r="B178" t="str">
        <f t="shared" si="2"/>
        <v>PTC8017 - Dados de alimentação</v>
      </c>
      <c r="D178" t="s">
        <v>404</v>
      </c>
      <c r="E178" t="s">
        <v>412</v>
      </c>
      <c r="F178" s="8" t="s">
        <v>430</v>
      </c>
      <c r="I178" t="s">
        <v>350</v>
      </c>
      <c r="K178" t="s">
        <v>350</v>
      </c>
      <c r="L178" t="s">
        <v>350</v>
      </c>
      <c r="M178" t="s">
        <v>350</v>
      </c>
      <c r="N178" t="s">
        <v>350</v>
      </c>
      <c r="O178" t="s">
        <v>749</v>
      </c>
      <c r="P178" t="s">
        <v>115</v>
      </c>
    </row>
    <row r="179" spans="1:16" x14ac:dyDescent="0.25">
      <c r="A179" t="s">
        <v>611</v>
      </c>
      <c r="B179" t="str">
        <f t="shared" si="2"/>
        <v>PTC8018 - Quantidades de escoamento das máquinas</v>
      </c>
      <c r="D179" t="s">
        <v>404</v>
      </c>
      <c r="E179" t="s">
        <v>412</v>
      </c>
      <c r="F179" s="8" t="s">
        <v>431</v>
      </c>
      <c r="L179" t="s">
        <v>373</v>
      </c>
      <c r="M179" t="s">
        <v>393</v>
      </c>
      <c r="N179" t="s">
        <v>393</v>
      </c>
      <c r="O179" t="s">
        <v>753</v>
      </c>
      <c r="P179" t="s">
        <v>116</v>
      </c>
    </row>
    <row r="180" spans="1:16" x14ac:dyDescent="0.25">
      <c r="A180" t="s">
        <v>612</v>
      </c>
      <c r="B180" t="str">
        <f t="shared" si="2"/>
        <v>PTC8019 - Valores de ajuste</v>
      </c>
      <c r="D180" t="s">
        <v>404</v>
      </c>
      <c r="E180" t="s">
        <v>412</v>
      </c>
      <c r="F180" s="8" t="s">
        <v>432</v>
      </c>
      <c r="H180" t="s">
        <v>261</v>
      </c>
      <c r="I180" t="s">
        <v>261</v>
      </c>
      <c r="J180" t="s">
        <v>261</v>
      </c>
      <c r="K180" t="s">
        <v>261</v>
      </c>
      <c r="L180" t="s">
        <v>261</v>
      </c>
      <c r="M180" t="s">
        <v>261</v>
      </c>
      <c r="N180" t="s">
        <v>261</v>
      </c>
      <c r="O180" t="s">
        <v>754</v>
      </c>
      <c r="P180" t="s">
        <v>117</v>
      </c>
    </row>
    <row r="181" spans="1:16" x14ac:dyDescent="0.25">
      <c r="A181" t="s">
        <v>613</v>
      </c>
      <c r="B181" t="str">
        <f t="shared" si="2"/>
        <v>PTC8020 - Emissão de ruído</v>
      </c>
      <c r="D181" t="s">
        <v>404</v>
      </c>
      <c r="E181" t="s">
        <v>412</v>
      </c>
      <c r="F181" s="8" t="s">
        <v>433</v>
      </c>
      <c r="H181" t="s">
        <v>262</v>
      </c>
      <c r="I181" t="s">
        <v>262</v>
      </c>
      <c r="J181" t="s">
        <v>262</v>
      </c>
      <c r="K181" t="s">
        <v>262</v>
      </c>
      <c r="L181" t="s">
        <v>262</v>
      </c>
      <c r="M181" t="s">
        <v>262</v>
      </c>
      <c r="N181" t="s">
        <v>262</v>
      </c>
      <c r="O181" t="s">
        <v>755</v>
      </c>
      <c r="P181" t="s">
        <v>118</v>
      </c>
    </row>
    <row r="182" spans="1:16" x14ac:dyDescent="0.25">
      <c r="A182" t="s">
        <v>614</v>
      </c>
      <c r="B182" t="str">
        <f t="shared" si="2"/>
        <v>PTC8021 - Manutenção</v>
      </c>
      <c r="D182" t="s">
        <v>404</v>
      </c>
      <c r="E182" t="s">
        <v>412</v>
      </c>
      <c r="F182" s="8" t="s">
        <v>434</v>
      </c>
      <c r="H182" t="s">
        <v>230</v>
      </c>
      <c r="I182" t="s">
        <v>230</v>
      </c>
      <c r="J182" t="s">
        <v>322</v>
      </c>
      <c r="K182" t="s">
        <v>230</v>
      </c>
      <c r="L182" t="s">
        <v>230</v>
      </c>
      <c r="M182" t="s">
        <v>322</v>
      </c>
      <c r="N182" t="s">
        <v>322</v>
      </c>
      <c r="O182" t="s">
        <v>725</v>
      </c>
      <c r="P182" t="s">
        <v>83</v>
      </c>
    </row>
    <row r="183" spans="1:16" x14ac:dyDescent="0.25">
      <c r="A183" t="s">
        <v>615</v>
      </c>
      <c r="B183" t="str">
        <f t="shared" si="2"/>
        <v>PTC8022 - Identificação dos dispositivos para desligamento e proteção</v>
      </c>
      <c r="D183" t="s">
        <v>404</v>
      </c>
      <c r="E183" t="s">
        <v>412</v>
      </c>
      <c r="F183" s="8" t="s">
        <v>435</v>
      </c>
      <c r="H183" t="s">
        <v>263</v>
      </c>
      <c r="I183" t="s">
        <v>351</v>
      </c>
      <c r="J183" t="s">
        <v>340</v>
      </c>
      <c r="K183" t="s">
        <v>351</v>
      </c>
      <c r="L183" t="s">
        <v>351</v>
      </c>
      <c r="M183" t="s">
        <v>340</v>
      </c>
      <c r="N183" t="s">
        <v>340</v>
      </c>
      <c r="O183" t="s">
        <v>756</v>
      </c>
      <c r="P183" t="s">
        <v>135</v>
      </c>
    </row>
    <row r="184" spans="1:16" x14ac:dyDescent="0.25">
      <c r="A184" t="s">
        <v>616</v>
      </c>
      <c r="B184" t="str">
        <f t="shared" si="2"/>
        <v>PTC8023 - Compatibilidades dos materiais</v>
      </c>
      <c r="D184" t="s">
        <v>404</v>
      </c>
      <c r="E184" t="s">
        <v>412</v>
      </c>
      <c r="F184" s="8" t="s">
        <v>436</v>
      </c>
      <c r="H184" t="s">
        <v>264</v>
      </c>
      <c r="I184" t="s">
        <v>264</v>
      </c>
      <c r="J184" t="s">
        <v>341</v>
      </c>
      <c r="K184" t="s">
        <v>264</v>
      </c>
      <c r="L184" t="s">
        <v>264</v>
      </c>
      <c r="M184" t="s">
        <v>341</v>
      </c>
      <c r="N184" t="s">
        <v>341</v>
      </c>
      <c r="O184" t="s">
        <v>757</v>
      </c>
      <c r="P184" t="s">
        <v>119</v>
      </c>
    </row>
    <row r="185" spans="1:16" x14ac:dyDescent="0.25">
      <c r="A185" s="9" t="s">
        <v>776</v>
      </c>
      <c r="B185" s="9" t="str">
        <f t="shared" si="2"/>
        <v>PTC8024 - Detergente</v>
      </c>
      <c r="D185" t="s">
        <v>404</v>
      </c>
      <c r="E185" t="s">
        <v>412</v>
      </c>
      <c r="F185" s="8" t="s">
        <v>437</v>
      </c>
      <c r="O185" t="s">
        <v>277</v>
      </c>
      <c r="P185" t="s">
        <v>145</v>
      </c>
    </row>
    <row r="186" spans="1:16" x14ac:dyDescent="0.25">
      <c r="A186" t="s">
        <v>617</v>
      </c>
      <c r="B186" t="str">
        <f t="shared" si="2"/>
        <v>PTC8025 - Características dos materiais de vedação</v>
      </c>
      <c r="D186" t="s">
        <v>404</v>
      </c>
      <c r="E186" t="s">
        <v>412</v>
      </c>
      <c r="F186" s="8" t="s">
        <v>438</v>
      </c>
      <c r="H186" t="s">
        <v>265</v>
      </c>
      <c r="I186" t="s">
        <v>265</v>
      </c>
      <c r="J186" t="s">
        <v>342</v>
      </c>
      <c r="K186" t="s">
        <v>265</v>
      </c>
      <c r="L186" t="s">
        <v>265</v>
      </c>
      <c r="M186" t="s">
        <v>342</v>
      </c>
      <c r="N186" t="s">
        <v>342</v>
      </c>
      <c r="O186" t="s">
        <v>265</v>
      </c>
      <c r="P186" t="s">
        <v>120</v>
      </c>
    </row>
    <row r="187" spans="1:16" x14ac:dyDescent="0.25">
      <c r="A187" t="s">
        <v>618</v>
      </c>
      <c r="B187" t="str">
        <f t="shared" si="2"/>
        <v>PTC8026 - Certificados</v>
      </c>
      <c r="D187" t="s">
        <v>404</v>
      </c>
      <c r="E187" t="s">
        <v>412</v>
      </c>
      <c r="F187" s="8" t="s">
        <v>439</v>
      </c>
      <c r="J187" t="s">
        <v>278</v>
      </c>
      <c r="M187" t="s">
        <v>344</v>
      </c>
      <c r="O187" t="s">
        <v>278</v>
      </c>
      <c r="P187" t="s">
        <v>278</v>
      </c>
    </row>
    <row r="188" spans="1:16" x14ac:dyDescent="0.25">
      <c r="A188" t="s">
        <v>619</v>
      </c>
      <c r="B188" t="str">
        <f t="shared" si="2"/>
        <v>PTC8027 - Declaração de conformidade CE</v>
      </c>
      <c r="D188" t="s">
        <v>404</v>
      </c>
      <c r="E188" t="s">
        <v>412</v>
      </c>
      <c r="F188" s="8" t="s">
        <v>440</v>
      </c>
      <c r="J188" t="s">
        <v>343</v>
      </c>
      <c r="O188" t="s">
        <v>279</v>
      </c>
      <c r="P188" t="s">
        <v>279</v>
      </c>
    </row>
    <row r="189" spans="1:16" x14ac:dyDescent="0.25">
      <c r="A189" t="s">
        <v>620</v>
      </c>
      <c r="B189" t="str">
        <f t="shared" si="2"/>
        <v>PTC8028 - Plano de montagem</v>
      </c>
      <c r="D189" t="s">
        <v>404</v>
      </c>
      <c r="E189" t="s">
        <v>412</v>
      </c>
      <c r="F189" s="8" t="s">
        <v>441</v>
      </c>
      <c r="H189" t="s">
        <v>266</v>
      </c>
      <c r="I189" t="s">
        <v>266</v>
      </c>
      <c r="J189" t="s">
        <v>344</v>
      </c>
      <c r="K189" t="s">
        <v>266</v>
      </c>
      <c r="L189" t="s">
        <v>374</v>
      </c>
      <c r="N189" t="s">
        <v>344</v>
      </c>
      <c r="O189" t="s">
        <v>758</v>
      </c>
      <c r="P189" t="s">
        <v>121</v>
      </c>
    </row>
    <row r="190" spans="1:16" x14ac:dyDescent="0.25">
      <c r="A190" s="9" t="s">
        <v>797</v>
      </c>
      <c r="B190" s="9" t="str">
        <f t="shared" si="2"/>
        <v>PTC8029 - sistema de limpeza</v>
      </c>
      <c r="D190" t="s">
        <v>404</v>
      </c>
      <c r="E190" t="s">
        <v>412</v>
      </c>
      <c r="F190" s="8" t="s">
        <v>442</v>
      </c>
      <c r="O190" t="s">
        <v>655</v>
      </c>
      <c r="P190" t="s">
        <v>30</v>
      </c>
    </row>
    <row r="191" spans="1:16" x14ac:dyDescent="0.25">
      <c r="A191" s="9" t="s">
        <v>798</v>
      </c>
      <c r="B191" s="9" t="str">
        <f t="shared" si="2"/>
        <v>PTC8030 - área CR69</v>
      </c>
      <c r="D191" t="s">
        <v>404</v>
      </c>
      <c r="E191" t="s">
        <v>412</v>
      </c>
      <c r="F191" s="8" t="s">
        <v>443</v>
      </c>
      <c r="O191" t="s">
        <v>759</v>
      </c>
      <c r="P191" t="s">
        <v>122</v>
      </c>
    </row>
    <row r="192" spans="1:16" x14ac:dyDescent="0.25">
      <c r="A192" s="9" t="s">
        <v>777</v>
      </c>
      <c r="B192" s="9" t="str">
        <f t="shared" si="2"/>
        <v>PTC8031 - Aquecedor de água fresca (área CR83)</v>
      </c>
      <c r="D192" t="s">
        <v>404</v>
      </c>
      <c r="E192" t="s">
        <v>412</v>
      </c>
      <c r="F192" s="8" t="s">
        <v>444</v>
      </c>
      <c r="O192" t="s">
        <v>662</v>
      </c>
      <c r="P192" t="s">
        <v>36</v>
      </c>
    </row>
    <row r="193" spans="1:16" x14ac:dyDescent="0.25">
      <c r="A193" s="9" t="s">
        <v>778</v>
      </c>
      <c r="B193" s="9" t="str">
        <f t="shared" si="2"/>
        <v>PTC8032 - Aquecedor de água fresca (área CR84)</v>
      </c>
      <c r="D193" t="s">
        <v>404</v>
      </c>
      <c r="E193" t="s">
        <v>412</v>
      </c>
      <c r="F193" s="8" t="s">
        <v>445</v>
      </c>
      <c r="O193" t="s">
        <v>661</v>
      </c>
      <c r="P193" t="s">
        <v>35</v>
      </c>
    </row>
    <row r="194" spans="1:16" x14ac:dyDescent="0.25">
      <c r="A194" t="s">
        <v>621</v>
      </c>
      <c r="B194" t="str">
        <f t="shared" si="2"/>
        <v>PTC8033 - Fluxograma da tubulação e dos instrumentos (diagrama P&amp;ID)</v>
      </c>
      <c r="D194" t="s">
        <v>404</v>
      </c>
      <c r="E194" t="s">
        <v>412</v>
      </c>
      <c r="F194" s="8" t="s">
        <v>446</v>
      </c>
      <c r="H194" t="s">
        <v>267</v>
      </c>
      <c r="I194" t="s">
        <v>267</v>
      </c>
      <c r="J194" t="s">
        <v>345</v>
      </c>
      <c r="K194" t="s">
        <v>267</v>
      </c>
      <c r="L194" t="s">
        <v>267</v>
      </c>
      <c r="M194" t="s">
        <v>345</v>
      </c>
      <c r="N194" t="s">
        <v>345</v>
      </c>
      <c r="O194" t="s">
        <v>760</v>
      </c>
      <c r="P194" t="s">
        <v>123</v>
      </c>
    </row>
    <row r="195" spans="1:16" x14ac:dyDescent="0.25">
      <c r="A195" t="s">
        <v>622</v>
      </c>
      <c r="B195" t="str">
        <f t="shared" ref="B195:B197" si="3">IF(H195="",IF(I195="",IF(J195="",IF(K195="",IF(L195="",IF(M195="",IF(N195="",IF(O195="","",_xlfn.CONCAT(D195,E195,F195," - ",O195)),_xlfn.CONCAT(D195,E195,F195," - ",N195)),_xlfn.CONCAT(D195,E195,F195," - ",M195)),_xlfn.CONCAT(D195,E195,F195," - ",L195)),_xlfn.CONCAT(D195,E195,F195," - ",K195)),_xlfn.CONCAT(D195,E195,F195," - ",J195)),_xlfn.CONCAT(D195,E195,F195," - ",I195)),_xlfn.CONCAT(D195,E195,F195," - ",H195))</f>
        <v>PTC8034 - Legenda</v>
      </c>
      <c r="D195" t="s">
        <v>404</v>
      </c>
      <c r="E195" t="s">
        <v>412</v>
      </c>
      <c r="F195" s="8" t="s">
        <v>447</v>
      </c>
      <c r="H195" t="s">
        <v>268</v>
      </c>
      <c r="I195" t="s">
        <v>268</v>
      </c>
      <c r="J195" t="s">
        <v>268</v>
      </c>
      <c r="K195" t="s">
        <v>268</v>
      </c>
      <c r="L195" t="s">
        <v>268</v>
      </c>
      <c r="M195" t="s">
        <v>268</v>
      </c>
      <c r="N195" t="s">
        <v>268</v>
      </c>
      <c r="O195" t="s">
        <v>761</v>
      </c>
      <c r="P195" t="s">
        <v>124</v>
      </c>
    </row>
    <row r="196" spans="1:16" x14ac:dyDescent="0.25">
      <c r="A196" s="9" t="s">
        <v>800</v>
      </c>
      <c r="B196" s="9" t="str">
        <f t="shared" si="3"/>
        <v>PTC8035 - lista de conexão de mídia</v>
      </c>
      <c r="D196" t="s">
        <v>404</v>
      </c>
      <c r="E196" t="s">
        <v>412</v>
      </c>
      <c r="F196" s="8" t="s">
        <v>448</v>
      </c>
      <c r="O196" t="s">
        <v>762</v>
      </c>
      <c r="P196" t="s">
        <v>146</v>
      </c>
    </row>
    <row r="197" spans="1:16" x14ac:dyDescent="0.25">
      <c r="A197" t="s">
        <v>623</v>
      </c>
      <c r="B197" t="str">
        <f t="shared" si="3"/>
        <v>PTC9 - Anexo</v>
      </c>
      <c r="D197" t="s">
        <v>404</v>
      </c>
      <c r="E197" t="s">
        <v>413</v>
      </c>
      <c r="H197" s="2" t="s">
        <v>269</v>
      </c>
      <c r="I197" s="2" t="s">
        <v>269</v>
      </c>
      <c r="J197" s="2" t="s">
        <v>269</v>
      </c>
      <c r="K197" s="2" t="s">
        <v>269</v>
      </c>
      <c r="L197" s="2" t="s">
        <v>269</v>
      </c>
      <c r="M197" s="2" t="s">
        <v>269</v>
      </c>
      <c r="N197" s="2" t="s">
        <v>269</v>
      </c>
      <c r="O197" t="s">
        <v>763</v>
      </c>
      <c r="P197" t="s">
        <v>125</v>
      </c>
    </row>
  </sheetData>
  <autoFilter ref="B1:N197" xr:uid="{AE75C646-4156-40B6-8C1A-EF1EDB03E7B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Alemanha</vt:lpstr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Marrasca, Carlos</dc:creator>
  <cp:lastModifiedBy>Marrasca, Carlos</cp:lastModifiedBy>
  <dcterms:created xsi:type="dcterms:W3CDTF">2020-09-23T12:47:30Z</dcterms:created>
  <dcterms:modified xsi:type="dcterms:W3CDTF">2021-03-16T15:23:35Z</dcterms:modified>
</cp:coreProperties>
</file>