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Abteilungen\SaoPaulo\PQK-M\Extern\Config_BA\GTR\"/>
    </mc:Choice>
  </mc:AlternateContent>
  <xr:revisionPtr revIDLastSave="0" documentId="13_ncr:1_{50696691-3B05-4C31-BE64-51F5E23C9E0C}" xr6:coauthVersionLast="45" xr6:coauthVersionMax="45" xr10:uidLastSave="{00000000-0000-0000-0000-000000000000}"/>
  <bookViews>
    <workbookView xWindow="28680" yWindow="15" windowWidth="25440" windowHeight="15390" xr2:uid="{7A657019-5994-429A-96AF-860D057FBB29}"/>
  </bookViews>
  <sheets>
    <sheet name="Padrão Alemanha" sheetId="1" r:id="rId1"/>
    <sheet name="Planilha2" sheetId="2" r:id="rId2"/>
    <sheet name="Planilha1" sheetId="3" r:id="rId3"/>
  </sheets>
  <definedNames>
    <definedName name="_xlnm._FilterDatabase" localSheetId="0" hidden="1">'Padrão Alemanha'!#REF!</definedName>
    <definedName name="_xlnm._FilterDatabase" localSheetId="2" hidden="1">Planilha1!$B$1:$N$197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 s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 s="1"/>
  <c r="B222" i="1" a="1"/>
  <c r="B222" i="1" s="1"/>
  <c r="B223" i="1" a="1"/>
  <c r="B223" i="1" s="1"/>
  <c r="B224" i="1" a="1"/>
  <c r="B224" i="1" s="1"/>
  <c r="B225" i="1" a="1"/>
  <c r="B225" i="1" s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 s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 s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 s="1"/>
  <c r="B254" i="1" a="1"/>
  <c r="B254" i="1" s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 s="1"/>
  <c r="B273" i="1" a="1"/>
  <c r="B273" i="1" s="1"/>
  <c r="B274" i="1" a="1"/>
  <c r="B274" i="1" s="1"/>
  <c r="B275" i="1" a="1"/>
  <c r="B275" i="1" s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A6" i="1"/>
  <c r="I29" i="2" l="1"/>
  <c r="S29" i="2" s="1"/>
  <c r="J29" i="2"/>
  <c r="I30" i="2"/>
  <c r="S30" i="2" s="1"/>
  <c r="J30" i="2"/>
  <c r="I31" i="2"/>
  <c r="S31" i="2" s="1"/>
  <c r="J31" i="2"/>
  <c r="I32" i="2"/>
  <c r="S32" i="2" s="1"/>
  <c r="J32" i="2"/>
  <c r="I33" i="2"/>
  <c r="S33" i="2" s="1"/>
  <c r="J33" i="2"/>
  <c r="I34" i="2"/>
  <c r="S34" i="2" s="1"/>
  <c r="J34" i="2"/>
  <c r="I35" i="2"/>
  <c r="S35" i="2" s="1"/>
  <c r="J35" i="2"/>
  <c r="I36" i="2"/>
  <c r="S36" i="2" s="1"/>
  <c r="J36" i="2"/>
  <c r="I37" i="2"/>
  <c r="S37" i="2" s="1"/>
  <c r="J37" i="2"/>
  <c r="I38" i="2"/>
  <c r="S38" i="2" s="1"/>
  <c r="J38" i="2"/>
  <c r="I39" i="2"/>
  <c r="S39" i="2" s="1"/>
  <c r="J39" i="2"/>
  <c r="I40" i="2"/>
  <c r="S40" i="2" s="1"/>
  <c r="J40" i="2"/>
  <c r="I41" i="2"/>
  <c r="S41" i="2" s="1"/>
  <c r="J41" i="2"/>
  <c r="I42" i="2"/>
  <c r="S42" i="2" s="1"/>
  <c r="J42" i="2"/>
  <c r="I43" i="2"/>
  <c r="S43" i="2" s="1"/>
  <c r="J43" i="2"/>
  <c r="I44" i="2"/>
  <c r="S44" i="2" s="1"/>
  <c r="J44" i="2"/>
  <c r="I45" i="2"/>
  <c r="S45" i="2" s="1"/>
  <c r="J45" i="2"/>
  <c r="I46" i="2"/>
  <c r="S46" i="2" s="1"/>
  <c r="J46" i="2"/>
  <c r="I47" i="2"/>
  <c r="S47" i="2" s="1"/>
  <c r="J47" i="2"/>
  <c r="I48" i="2"/>
  <c r="S48" i="2" s="1"/>
  <c r="J48" i="2"/>
  <c r="I49" i="2"/>
  <c r="S49" i="2" s="1"/>
  <c r="J49" i="2"/>
  <c r="I50" i="2"/>
  <c r="S50" i="2" s="1"/>
  <c r="J50" i="2"/>
  <c r="I51" i="2"/>
  <c r="S51" i="2" s="1"/>
  <c r="J51" i="2"/>
  <c r="I52" i="2"/>
  <c r="S52" i="2" s="1"/>
  <c r="J52" i="2"/>
  <c r="I53" i="2"/>
  <c r="S53" i="2" s="1"/>
  <c r="J53" i="2"/>
  <c r="I54" i="2"/>
  <c r="S54" i="2" s="1"/>
  <c r="J54" i="2"/>
  <c r="I55" i="2"/>
  <c r="S55" i="2" s="1"/>
  <c r="J55" i="2"/>
  <c r="I56" i="2"/>
  <c r="S56" i="2" s="1"/>
  <c r="J56" i="2"/>
  <c r="I57" i="2"/>
  <c r="S57" i="2" s="1"/>
  <c r="J57" i="2"/>
  <c r="I58" i="2"/>
  <c r="S58" i="2" s="1"/>
  <c r="J58" i="2"/>
  <c r="I59" i="2"/>
  <c r="S59" i="2" s="1"/>
  <c r="J59" i="2"/>
  <c r="I60" i="2"/>
  <c r="S60" i="2" s="1"/>
  <c r="J60" i="2"/>
  <c r="I61" i="2"/>
  <c r="S61" i="2" s="1"/>
  <c r="J61" i="2"/>
  <c r="I62" i="2"/>
  <c r="S62" i="2" s="1"/>
  <c r="J62" i="2"/>
  <c r="I63" i="2"/>
  <c r="S63" i="2" s="1"/>
  <c r="J63" i="2"/>
  <c r="I64" i="2"/>
  <c r="S64" i="2" s="1"/>
  <c r="J64" i="2"/>
  <c r="I65" i="2"/>
  <c r="S65" i="2" s="1"/>
  <c r="J65" i="2"/>
  <c r="I66" i="2"/>
  <c r="S66" i="2" s="1"/>
  <c r="J66" i="2"/>
  <c r="I67" i="2"/>
  <c r="S67" i="2" s="1"/>
  <c r="J67" i="2"/>
  <c r="I68" i="2"/>
  <c r="S68" i="2" s="1"/>
  <c r="J68" i="2"/>
  <c r="I69" i="2"/>
  <c r="S69" i="2" s="1"/>
  <c r="J69" i="2"/>
  <c r="I70" i="2"/>
  <c r="S70" i="2" s="1"/>
  <c r="J70" i="2"/>
  <c r="I71" i="2"/>
  <c r="S71" i="2" s="1"/>
  <c r="J71" i="2"/>
  <c r="I72" i="2"/>
  <c r="S72" i="2" s="1"/>
  <c r="J72" i="2"/>
  <c r="I73" i="2"/>
  <c r="S73" i="2" s="1"/>
  <c r="J73" i="2"/>
  <c r="I74" i="2"/>
  <c r="S74" i="2" s="1"/>
  <c r="J74" i="2"/>
  <c r="I75" i="2"/>
  <c r="S75" i="2" s="1"/>
  <c r="J75" i="2"/>
  <c r="I76" i="2"/>
  <c r="S76" i="2" s="1"/>
  <c r="J76" i="2"/>
  <c r="I77" i="2"/>
  <c r="S77" i="2" s="1"/>
  <c r="J77" i="2"/>
  <c r="I78" i="2"/>
  <c r="S78" i="2" s="1"/>
  <c r="J78" i="2"/>
  <c r="I79" i="2"/>
  <c r="S79" i="2" s="1"/>
  <c r="J79" i="2"/>
  <c r="I80" i="2"/>
  <c r="S80" i="2" s="1"/>
  <c r="J80" i="2"/>
  <c r="I81" i="2"/>
  <c r="S81" i="2" s="1"/>
  <c r="J81" i="2"/>
  <c r="I82" i="2"/>
  <c r="S82" i="2" s="1"/>
  <c r="J82" i="2"/>
  <c r="I83" i="2"/>
  <c r="S83" i="2" s="1"/>
  <c r="J83" i="2"/>
  <c r="I84" i="2"/>
  <c r="S84" i="2" s="1"/>
  <c r="J84" i="2"/>
  <c r="I85" i="2"/>
  <c r="S85" i="2" s="1"/>
  <c r="J85" i="2"/>
  <c r="I86" i="2"/>
  <c r="S86" i="2" s="1"/>
  <c r="J86" i="2"/>
  <c r="I87" i="2"/>
  <c r="S87" i="2" s="1"/>
  <c r="J87" i="2"/>
  <c r="I88" i="2"/>
  <c r="S88" i="2" s="1"/>
  <c r="J88" i="2"/>
  <c r="I89" i="2"/>
  <c r="S89" i="2" s="1"/>
  <c r="J89" i="2"/>
  <c r="I90" i="2"/>
  <c r="S90" i="2" s="1"/>
  <c r="J90" i="2"/>
  <c r="I91" i="2"/>
  <c r="S91" i="2" s="1"/>
  <c r="J91" i="2"/>
  <c r="I92" i="2"/>
  <c r="S92" i="2" s="1"/>
  <c r="J92" i="2"/>
  <c r="I93" i="2"/>
  <c r="S93" i="2" s="1"/>
  <c r="J93" i="2"/>
  <c r="I94" i="2"/>
  <c r="S94" i="2" s="1"/>
  <c r="J94" i="2"/>
  <c r="I95" i="2"/>
  <c r="S95" i="2" s="1"/>
  <c r="J95" i="2"/>
  <c r="I96" i="2"/>
  <c r="S96" i="2" s="1"/>
  <c r="J96" i="2"/>
  <c r="I97" i="2"/>
  <c r="S97" i="2" s="1"/>
  <c r="J97" i="2"/>
  <c r="I98" i="2"/>
  <c r="S98" i="2" s="1"/>
  <c r="J98" i="2"/>
  <c r="I99" i="2"/>
  <c r="S99" i="2" s="1"/>
  <c r="J99" i="2"/>
  <c r="I100" i="2"/>
  <c r="S100" i="2" s="1"/>
  <c r="J100" i="2"/>
  <c r="I101" i="2"/>
  <c r="S101" i="2" s="1"/>
  <c r="J101" i="2"/>
  <c r="I102" i="2"/>
  <c r="S102" i="2" s="1"/>
  <c r="J102" i="2"/>
  <c r="I103" i="2"/>
  <c r="S103" i="2" s="1"/>
  <c r="J103" i="2"/>
  <c r="I104" i="2"/>
  <c r="S104" i="2" s="1"/>
  <c r="J104" i="2"/>
  <c r="I105" i="2"/>
  <c r="S105" i="2" s="1"/>
  <c r="J105" i="2"/>
  <c r="I106" i="2"/>
  <c r="S106" i="2" s="1"/>
  <c r="J106" i="2"/>
  <c r="I107" i="2"/>
  <c r="S107" i="2" s="1"/>
  <c r="J107" i="2"/>
  <c r="I108" i="2"/>
  <c r="S108" i="2" s="1"/>
  <c r="J108" i="2"/>
  <c r="I109" i="2"/>
  <c r="S109" i="2" s="1"/>
  <c r="J109" i="2"/>
  <c r="I110" i="2"/>
  <c r="S110" i="2" s="1"/>
  <c r="J110" i="2"/>
  <c r="I111" i="2"/>
  <c r="S111" i="2" s="1"/>
  <c r="J111" i="2"/>
  <c r="I112" i="2"/>
  <c r="S112" i="2" s="1"/>
  <c r="J112" i="2"/>
  <c r="I113" i="2"/>
  <c r="S113" i="2" s="1"/>
  <c r="J113" i="2"/>
  <c r="I114" i="2"/>
  <c r="S114" i="2" s="1"/>
  <c r="J114" i="2"/>
  <c r="I115" i="2"/>
  <c r="S115" i="2" s="1"/>
  <c r="J115" i="2"/>
  <c r="I116" i="2"/>
  <c r="S116" i="2" s="1"/>
  <c r="J116" i="2"/>
  <c r="I117" i="2"/>
  <c r="S117" i="2" s="1"/>
  <c r="J117" i="2"/>
  <c r="I118" i="2"/>
  <c r="S118" i="2" s="1"/>
  <c r="J118" i="2"/>
  <c r="I119" i="2"/>
  <c r="S119" i="2" s="1"/>
  <c r="J119" i="2"/>
  <c r="I120" i="2"/>
  <c r="S120" i="2" s="1"/>
  <c r="J120" i="2"/>
  <c r="I121" i="2"/>
  <c r="S121" i="2" s="1"/>
  <c r="J121" i="2"/>
  <c r="I122" i="2"/>
  <c r="S122" i="2" s="1"/>
  <c r="J122" i="2"/>
  <c r="I123" i="2"/>
  <c r="S123" i="2" s="1"/>
  <c r="J123" i="2"/>
  <c r="I124" i="2"/>
  <c r="S124" i="2" s="1"/>
  <c r="J124" i="2"/>
  <c r="I125" i="2"/>
  <c r="S125" i="2" s="1"/>
  <c r="J125" i="2"/>
  <c r="I126" i="2"/>
  <c r="S126" i="2" s="1"/>
  <c r="J126" i="2"/>
  <c r="I127" i="2"/>
  <c r="S127" i="2" s="1"/>
  <c r="J127" i="2"/>
  <c r="I128" i="2"/>
  <c r="S128" i="2" s="1"/>
  <c r="J128" i="2"/>
  <c r="I129" i="2"/>
  <c r="S129" i="2" s="1"/>
  <c r="J129" i="2"/>
  <c r="I130" i="2"/>
  <c r="S130" i="2" s="1"/>
  <c r="J130" i="2"/>
  <c r="I131" i="2"/>
  <c r="S131" i="2" s="1"/>
  <c r="J131" i="2"/>
  <c r="I132" i="2"/>
  <c r="S132" i="2" s="1"/>
  <c r="J132" i="2"/>
  <c r="I133" i="2"/>
  <c r="S133" i="2" s="1"/>
  <c r="J133" i="2"/>
  <c r="I134" i="2"/>
  <c r="S134" i="2" s="1"/>
  <c r="J134" i="2"/>
  <c r="I135" i="2"/>
  <c r="S135" i="2" s="1"/>
  <c r="J135" i="2"/>
  <c r="I136" i="2"/>
  <c r="S136" i="2" s="1"/>
  <c r="J136" i="2"/>
  <c r="I137" i="2"/>
  <c r="S137" i="2" s="1"/>
  <c r="J137" i="2"/>
  <c r="I138" i="2"/>
  <c r="S138" i="2" s="1"/>
  <c r="J138" i="2"/>
  <c r="I139" i="2"/>
  <c r="S139" i="2" s="1"/>
  <c r="J139" i="2"/>
  <c r="I140" i="2"/>
  <c r="S140" i="2" s="1"/>
  <c r="J140" i="2"/>
  <c r="I141" i="2"/>
  <c r="S141" i="2" s="1"/>
  <c r="J141" i="2"/>
  <c r="I142" i="2"/>
  <c r="S142" i="2" s="1"/>
  <c r="J142" i="2"/>
  <c r="I143" i="2"/>
  <c r="S143" i="2" s="1"/>
  <c r="J143" i="2"/>
  <c r="I144" i="2"/>
  <c r="S144" i="2" s="1"/>
  <c r="J144" i="2"/>
  <c r="I145" i="2"/>
  <c r="S145" i="2" s="1"/>
  <c r="J145" i="2"/>
  <c r="I146" i="2"/>
  <c r="S146" i="2" s="1"/>
  <c r="J146" i="2"/>
  <c r="I147" i="2"/>
  <c r="S147" i="2" s="1"/>
  <c r="J147" i="2"/>
  <c r="I148" i="2"/>
  <c r="S148" i="2" s="1"/>
  <c r="J148" i="2"/>
  <c r="I149" i="2"/>
  <c r="S149" i="2" s="1"/>
  <c r="J149" i="2"/>
  <c r="I150" i="2"/>
  <c r="S150" i="2" s="1"/>
  <c r="J150" i="2"/>
  <c r="I151" i="2"/>
  <c r="S151" i="2" s="1"/>
  <c r="J151" i="2"/>
  <c r="I152" i="2"/>
  <c r="S152" i="2" s="1"/>
  <c r="J152" i="2"/>
  <c r="I153" i="2"/>
  <c r="S153" i="2" s="1"/>
  <c r="J153" i="2"/>
  <c r="I154" i="2"/>
  <c r="S154" i="2" s="1"/>
  <c r="J154" i="2"/>
  <c r="I155" i="2"/>
  <c r="S155" i="2" s="1"/>
  <c r="J155" i="2"/>
  <c r="I156" i="2"/>
  <c r="S156" i="2" s="1"/>
  <c r="J156" i="2"/>
  <c r="I157" i="2"/>
  <c r="S157" i="2" s="1"/>
  <c r="J157" i="2"/>
  <c r="I158" i="2"/>
  <c r="S158" i="2" s="1"/>
  <c r="J158" i="2"/>
  <c r="I159" i="2"/>
  <c r="S159" i="2" s="1"/>
  <c r="J159" i="2"/>
  <c r="I160" i="2"/>
  <c r="S160" i="2" s="1"/>
  <c r="J160" i="2"/>
  <c r="I161" i="2"/>
  <c r="S161" i="2" s="1"/>
  <c r="J161" i="2"/>
  <c r="I162" i="2"/>
  <c r="S162" i="2" s="1"/>
  <c r="J162" i="2"/>
  <c r="I163" i="2"/>
  <c r="S163" i="2" s="1"/>
  <c r="J163" i="2"/>
  <c r="I164" i="2"/>
  <c r="S164" i="2" s="1"/>
  <c r="J164" i="2"/>
  <c r="I165" i="2"/>
  <c r="S165" i="2" s="1"/>
  <c r="J165" i="2"/>
  <c r="I166" i="2"/>
  <c r="S166" i="2" s="1"/>
  <c r="J166" i="2"/>
  <c r="I167" i="2"/>
  <c r="S167" i="2" s="1"/>
  <c r="J167" i="2"/>
  <c r="I168" i="2"/>
  <c r="S168" i="2" s="1"/>
  <c r="J168" i="2"/>
  <c r="I169" i="2"/>
  <c r="S169" i="2" s="1"/>
  <c r="J169" i="2"/>
  <c r="I170" i="2"/>
  <c r="S170" i="2" s="1"/>
  <c r="J170" i="2"/>
  <c r="I171" i="2"/>
  <c r="S171" i="2" s="1"/>
  <c r="J171" i="2"/>
  <c r="I172" i="2"/>
  <c r="S172" i="2" s="1"/>
  <c r="J172" i="2"/>
  <c r="I173" i="2"/>
  <c r="S173" i="2" s="1"/>
  <c r="J173" i="2"/>
  <c r="I174" i="2"/>
  <c r="S174" i="2" s="1"/>
  <c r="J174" i="2"/>
  <c r="I175" i="2"/>
  <c r="S175" i="2" s="1"/>
  <c r="J175" i="2"/>
  <c r="I176" i="2"/>
  <c r="S176" i="2" s="1"/>
  <c r="J176" i="2"/>
  <c r="I177" i="2"/>
  <c r="S177" i="2" s="1"/>
  <c r="J177" i="2"/>
  <c r="I178" i="2"/>
  <c r="S178" i="2" s="1"/>
  <c r="J178" i="2"/>
  <c r="I179" i="2"/>
  <c r="S179" i="2" s="1"/>
  <c r="J179" i="2"/>
  <c r="I180" i="2"/>
  <c r="S180" i="2" s="1"/>
  <c r="J180" i="2"/>
  <c r="I181" i="2"/>
  <c r="S181" i="2" s="1"/>
  <c r="J181" i="2"/>
  <c r="I182" i="2"/>
  <c r="S182" i="2" s="1"/>
  <c r="J182" i="2"/>
  <c r="I183" i="2"/>
  <c r="S183" i="2" s="1"/>
  <c r="J183" i="2"/>
  <c r="I184" i="2"/>
  <c r="S184" i="2" s="1"/>
  <c r="J184" i="2"/>
  <c r="I185" i="2"/>
  <c r="S185" i="2" s="1"/>
  <c r="J185" i="2"/>
  <c r="I186" i="2"/>
  <c r="S186" i="2" s="1"/>
  <c r="J186" i="2"/>
  <c r="I187" i="2"/>
  <c r="S187" i="2" s="1"/>
  <c r="J187" i="2"/>
  <c r="I188" i="2"/>
  <c r="S188" i="2" s="1"/>
  <c r="J188" i="2"/>
  <c r="I189" i="2"/>
  <c r="S189" i="2" s="1"/>
  <c r="J189" i="2"/>
  <c r="I190" i="2"/>
  <c r="S190" i="2" s="1"/>
  <c r="J190" i="2"/>
  <c r="I191" i="2"/>
  <c r="S191" i="2" s="1"/>
  <c r="J191" i="2"/>
  <c r="I192" i="2"/>
  <c r="S192" i="2" s="1"/>
  <c r="J192" i="2"/>
  <c r="I193" i="2"/>
  <c r="S193" i="2" s="1"/>
  <c r="J193" i="2"/>
  <c r="I194" i="2"/>
  <c r="S194" i="2" s="1"/>
  <c r="J194" i="2"/>
  <c r="I195" i="2"/>
  <c r="S195" i="2" s="1"/>
  <c r="J195" i="2"/>
  <c r="I196" i="2"/>
  <c r="S196" i="2" s="1"/>
  <c r="J196" i="2"/>
  <c r="I197" i="2"/>
  <c r="S197" i="2" s="1"/>
  <c r="J197" i="2"/>
  <c r="I198" i="2"/>
  <c r="S198" i="2" s="1"/>
  <c r="J198" i="2"/>
  <c r="I199" i="2"/>
  <c r="S199" i="2" s="1"/>
  <c r="J199" i="2"/>
  <c r="I200" i="2"/>
  <c r="S200" i="2" s="1"/>
  <c r="J200" i="2"/>
  <c r="I201" i="2"/>
  <c r="S201" i="2" s="1"/>
  <c r="J201" i="2"/>
  <c r="I202" i="2"/>
  <c r="S202" i="2" s="1"/>
  <c r="J202" i="2"/>
  <c r="I203" i="2"/>
  <c r="S203" i="2" s="1"/>
  <c r="J203" i="2"/>
  <c r="I204" i="2"/>
  <c r="S204" i="2" s="1"/>
  <c r="J204" i="2"/>
  <c r="I205" i="2"/>
  <c r="S205" i="2" s="1"/>
  <c r="J205" i="2"/>
  <c r="I206" i="2"/>
  <c r="S206" i="2" s="1"/>
  <c r="J206" i="2"/>
  <c r="I207" i="2"/>
  <c r="S207" i="2" s="1"/>
  <c r="J207" i="2"/>
  <c r="I208" i="2"/>
  <c r="S208" i="2" s="1"/>
  <c r="J208" i="2"/>
  <c r="I209" i="2"/>
  <c r="S209" i="2" s="1"/>
  <c r="J209" i="2"/>
  <c r="I210" i="2"/>
  <c r="S210" i="2" s="1"/>
  <c r="J210" i="2"/>
  <c r="I211" i="2"/>
  <c r="S211" i="2" s="1"/>
  <c r="J211" i="2"/>
  <c r="I212" i="2"/>
  <c r="S212" i="2" s="1"/>
  <c r="J212" i="2"/>
  <c r="I213" i="2"/>
  <c r="S213" i="2" s="1"/>
  <c r="J213" i="2"/>
  <c r="I214" i="2"/>
  <c r="S214" i="2" s="1"/>
  <c r="J214" i="2"/>
  <c r="I215" i="2"/>
  <c r="S215" i="2" s="1"/>
  <c r="J215" i="2"/>
  <c r="I216" i="2"/>
  <c r="S216" i="2" s="1"/>
  <c r="J216" i="2"/>
  <c r="I217" i="2"/>
  <c r="S217" i="2" s="1"/>
  <c r="J217" i="2"/>
  <c r="I218" i="2"/>
  <c r="S218" i="2" s="1"/>
  <c r="J218" i="2"/>
  <c r="I219" i="2"/>
  <c r="S219" i="2" s="1"/>
  <c r="J219" i="2"/>
  <c r="I220" i="2"/>
  <c r="S220" i="2" s="1"/>
  <c r="J220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I14" i="2"/>
  <c r="S14" i="2" s="1"/>
  <c r="I15" i="2"/>
  <c r="S15" i="2" s="1"/>
  <c r="I16" i="2"/>
  <c r="S16" i="2" s="1"/>
  <c r="I17" i="2"/>
  <c r="S17" i="2" s="1"/>
  <c r="I18" i="2"/>
  <c r="S18" i="2" s="1"/>
  <c r="I19" i="2"/>
  <c r="S19" i="2" s="1"/>
  <c r="I20" i="2"/>
  <c r="S20" i="2" s="1"/>
  <c r="I21" i="2"/>
  <c r="S21" i="2" s="1"/>
  <c r="I22" i="2"/>
  <c r="S22" i="2" s="1"/>
  <c r="I23" i="2"/>
  <c r="S23" i="2" s="1"/>
  <c r="I24" i="2"/>
  <c r="S24" i="2" s="1"/>
  <c r="I25" i="2"/>
  <c r="S25" i="2" s="1"/>
  <c r="I26" i="2"/>
  <c r="S26" i="2" s="1"/>
  <c r="I27" i="2"/>
  <c r="S27" i="2" s="1"/>
  <c r="I28" i="2"/>
  <c r="S28" i="2" s="1"/>
  <c r="I6" i="2"/>
  <c r="S6" i="2" s="1"/>
  <c r="I7" i="2"/>
  <c r="S7" i="2" s="1"/>
  <c r="I8" i="2"/>
  <c r="S8" i="2" s="1"/>
  <c r="I9" i="2"/>
  <c r="S9" i="2" s="1"/>
  <c r="I10" i="2"/>
  <c r="S10" i="2" s="1"/>
  <c r="I11" i="2"/>
  <c r="S11" i="2" s="1"/>
  <c r="I12" i="2"/>
  <c r="S12" i="2" s="1"/>
  <c r="I13" i="2"/>
  <c r="S13" i="2" s="1"/>
  <c r="I5" i="2"/>
  <c r="S5" i="2" s="1"/>
  <c r="D1" i="1" l="1"/>
  <c r="E1" i="1"/>
  <c r="F1" i="1"/>
  <c r="G1" i="1"/>
  <c r="H1" i="1"/>
  <c r="I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C1" i="1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2" i="3"/>
  <c r="AB1" i="1" l="1"/>
  <c r="AC1" i="1"/>
  <c r="AD1" i="1"/>
  <c r="AE1" i="1"/>
  <c r="AF1" i="1"/>
  <c r="AG1" i="1"/>
  <c r="AH1" i="1"/>
  <c r="AI1" i="1"/>
  <c r="B6" i="1" l="1" a="1"/>
  <c r="B6" i="1" s="1"/>
  <c r="J1" i="1"/>
  <c r="K1" i="1"/>
</calcChain>
</file>

<file path=xl/sharedStrings.xml><?xml version="1.0" encoding="utf-8"?>
<sst xmlns="http://schemas.openxmlformats.org/spreadsheetml/2006/main" count="3993" uniqueCount="1355">
  <si>
    <t>General information</t>
  </si>
  <si>
    <t>Target Group</t>
  </si>
  <si>
    <t>Notes on technical documentation</t>
  </si>
  <si>
    <t>Machine assignment</t>
  </si>
  <si>
    <t>Customer Service</t>
  </si>
  <si>
    <t>Copyright</t>
  </si>
  <si>
    <t>Notes on reading this manual</t>
  </si>
  <si>
    <t>Safety information</t>
  </si>
  <si>
    <t>Purpose of safety information</t>
  </si>
  <si>
    <t>Intended use</t>
  </si>
  <si>
    <t>Reasonably foreseeable misuse</t>
  </si>
  <si>
    <t>Obligations of the operator</t>
  </si>
  <si>
    <t>Personnel requirements</t>
  </si>
  <si>
    <t>Protective equipment</t>
  </si>
  <si>
    <t>Hazardous areas and identification of these areas</t>
  </si>
  <si>
    <t>Warning signs</t>
  </si>
  <si>
    <t>Mounting location of signs</t>
  </si>
  <si>
    <t>Safety equipment</t>
  </si>
  <si>
    <t>Emergency stop</t>
  </si>
  <si>
    <t>Relief valve to relieve excessively high pressure</t>
  </si>
  <si>
    <t>Installation location of safety equipment</t>
  </si>
  <si>
    <t>Equipment for disconnecting and securing</t>
  </si>
  <si>
    <t>Conduct in hazardous situations and in the event of an accident</t>
  </si>
  <si>
    <t>Operating statuses</t>
  </si>
  <si>
    <t>Deenergized machine</t>
  </si>
  <si>
    <t>Operating status OFF</t>
  </si>
  <si>
    <t>Operating status ON</t>
  </si>
  <si>
    <t>Pressure tanks</t>
  </si>
  <si>
    <t>Residual risks</t>
  </si>
  <si>
    <t>Layout and function</t>
  </si>
  <si>
    <t>Cleaning system</t>
  </si>
  <si>
    <t>Tanks (area CR71, CR72, CR75)</t>
  </si>
  <si>
    <t>Detergent concentrate dosing station</t>
  </si>
  <si>
    <t>Detergent and steam circuit (area CR70)</t>
  </si>
  <si>
    <t>Detergent and steam circuit (CR69 area)</t>
  </si>
  <si>
    <t>Heater for fresh water (area CR84)</t>
  </si>
  <si>
    <t>Heater for fresh water (area CR83)</t>
  </si>
  <si>
    <t>Control air supply</t>
  </si>
  <si>
    <t>Signaling equipment</t>
  </si>
  <si>
    <t>Operating controls</t>
  </si>
  <si>
    <t>Workstation</t>
  </si>
  <si>
    <t>Measuring, control and regulating equipment</t>
  </si>
  <si>
    <t>Switch cabinet</t>
  </si>
  <si>
    <t>Machine control</t>
  </si>
  <si>
    <t>Cleaning control</t>
  </si>
  <si>
    <t>Pneumatics</t>
  </si>
  <si>
    <t>Electrical system</t>
  </si>
  <si>
    <t>Assembly</t>
  </si>
  <si>
    <t>Safety instructions</t>
  </si>
  <si>
    <t>Check the items included in the delivery and inspect the shipment</t>
  </si>
  <si>
    <t>Transportation</t>
  </si>
  <si>
    <t>Installation</t>
  </si>
  <si>
    <t>Connection</t>
  </si>
  <si>
    <t>Commissioning</t>
  </si>
  <si>
    <t>Decommissioning</t>
  </si>
  <si>
    <t>Storage</t>
  </si>
  <si>
    <t>Disposal</t>
  </si>
  <si>
    <t>Operation</t>
  </si>
  <si>
    <t>Emergency stop switch</t>
  </si>
  <si>
    <t>Signal lamp</t>
  </si>
  <si>
    <t>Signal horn</t>
  </si>
  <si>
    <t>Operator console</t>
  </si>
  <si>
    <t>Keypad</t>
  </si>
  <si>
    <t>Main switch</t>
  </si>
  <si>
    <t>Manual shut-off valves</t>
  </si>
  <si>
    <t>Preparing for operation</t>
  </si>
  <si>
    <t>Opening and setting the control air supply</t>
  </si>
  <si>
    <t>Switching on the power supply</t>
  </si>
  <si>
    <t>Switching on the control voltage</t>
  </si>
  <si>
    <t>Switching on the data recorder</t>
  </si>
  <si>
    <t>Preparing the machine</t>
  </si>
  <si>
    <t>Cleaning external machines/systems</t>
  </si>
  <si>
    <t>Prerequisites</t>
  </si>
  <si>
    <t>Preparation</t>
  </si>
  <si>
    <t>Execution</t>
  </si>
  <si>
    <t>Ending production</t>
  </si>
  <si>
    <t>Cleaning the CIP system</t>
  </si>
  <si>
    <t>Taking the machine out of operation</t>
  </si>
  <si>
    <t>Subsequent preparation of the machine</t>
  </si>
  <si>
    <t>Switching off the data recorder</t>
  </si>
  <si>
    <t>Switching off the control voltage</t>
  </si>
  <si>
    <t>Switching off the power supply</t>
  </si>
  <si>
    <t>Closing the control air supply</t>
  </si>
  <si>
    <t>Servicing</t>
  </si>
  <si>
    <t>Adhering to regulations</t>
  </si>
  <si>
    <t>Disconnecting and securing</t>
  </si>
  <si>
    <t>Emptying the machine</t>
  </si>
  <si>
    <t>Filling the machine with water</t>
  </si>
  <si>
    <t>Maintenance</t>
  </si>
  <si>
    <t>Notes on maintenance practices</t>
  </si>
  <si>
    <t>Requirements</t>
  </si>
  <si>
    <t>Maintenance schedule</t>
  </si>
  <si>
    <t>Checking the function of the emergency stop switch</t>
  </si>
  <si>
    <t>Servicing the pressure tank</t>
  </si>
  <si>
    <t>Performing a lamp test</t>
  </si>
  <si>
    <t>Maintaining seals</t>
  </si>
  <si>
    <t>Tighten the milk pipe joints</t>
  </si>
  <si>
    <t>Maintaining purchased parts</t>
  </si>
  <si>
    <t>Cleaning surfaces</t>
  </si>
  <si>
    <t>Repairs</t>
  </si>
  <si>
    <t>Faults</t>
  </si>
  <si>
    <t>Detecting faults</t>
  </si>
  <si>
    <t>Rectifying faults</t>
  </si>
  <si>
    <t>Technical data</t>
  </si>
  <si>
    <t>Environment requirements</t>
  </si>
  <si>
    <t>Media requirements</t>
  </si>
  <si>
    <t>Explanation of terms</t>
  </si>
  <si>
    <t>Water</t>
  </si>
  <si>
    <t>Air</t>
  </si>
  <si>
    <t>Steam</t>
  </si>
  <si>
    <t>Cleaning recommendations</t>
  </si>
  <si>
    <t>Hygiene of surrounding area (floor, walls, gullies, belts)</t>
  </si>
  <si>
    <t>External cleaning: Selected machines</t>
  </si>
  <si>
    <t>Passivation</t>
  </si>
  <si>
    <t>Machine specifications</t>
  </si>
  <si>
    <t>Supply data</t>
  </si>
  <si>
    <t>Flow rates for the machines</t>
  </si>
  <si>
    <t>Settings</t>
  </si>
  <si>
    <t>Noise emissions</t>
  </si>
  <si>
    <t>Compatibility of materials</t>
  </si>
  <si>
    <t>Characteristics of the sealing materials</t>
  </si>
  <si>
    <t>Installation plan</t>
  </si>
  <si>
    <t>Area CR69</t>
  </si>
  <si>
    <t>Piping and instrumentation diagram (P&amp;ID)</t>
  </si>
  <si>
    <t>Legend</t>
  </si>
  <si>
    <t>Appendix</t>
  </si>
  <si>
    <t>Mandatory signs</t>
  </si>
  <si>
    <t>Protective grating</t>
  </si>
  <si>
    <t>Insulation</t>
  </si>
  <si>
    <t>Area CR69 and CR70 supply</t>
  </si>
  <si>
    <t>Graphical user interface</t>
  </si>
  <si>
    <t>Main window</t>
  </si>
  <si>
    <t>Favorites</t>
  </si>
  <si>
    <t>Logging in and logging out</t>
  </si>
  <si>
    <t>Main menu</t>
  </si>
  <si>
    <t>Labeling of equipment for disconnecting and securing</t>
  </si>
  <si>
    <t>Prohibitory signs</t>
  </si>
  <si>
    <t>Detergent circuit (area CR70)</t>
  </si>
  <si>
    <t>Steam circuit (area CR70)</t>
  </si>
  <si>
    <t>Distributor (area CR70)</t>
  </si>
  <si>
    <t>Remote access for Remote Diagnostic Service (ReDiS)</t>
  </si>
  <si>
    <t>[ReDiS] key switch</t>
  </si>
  <si>
    <t>Distributor</t>
  </si>
  <si>
    <t>Distributor in the media feed</t>
  </si>
  <si>
    <t>Electrical energy</t>
  </si>
  <si>
    <t>Detergent</t>
  </si>
  <si>
    <t>Media connection list</t>
  </si>
  <si>
    <t>Informações gerais</t>
  </si>
  <si>
    <t>Grupo-alvo</t>
  </si>
  <si>
    <t>Informações sobre a documentação técnica</t>
  </si>
  <si>
    <t>Atribuição da máquina</t>
  </si>
  <si>
    <t>Assistência ao cliente</t>
  </si>
  <si>
    <t>Direitos autorais</t>
  </si>
  <si>
    <t xml:space="preserve">Avisos para a leitura </t>
  </si>
  <si>
    <t>Segurança</t>
  </si>
  <si>
    <t>Função de avisos de segurança</t>
  </si>
  <si>
    <t>Utilização prevista</t>
  </si>
  <si>
    <t>Possibilidades de uso incorreto</t>
  </si>
  <si>
    <t>Deveres do operador</t>
  </si>
  <si>
    <t>Requisitos relativos ao pessoal</t>
  </si>
  <si>
    <t>Equipamento de proteção</t>
  </si>
  <si>
    <t>Áreas de risco e sua identificação</t>
  </si>
  <si>
    <t>Sinais de aviso</t>
  </si>
  <si>
    <t>Sinais de obrigação</t>
  </si>
  <si>
    <t>Localização dos sinais</t>
  </si>
  <si>
    <t>Dispositivos de proteção</t>
  </si>
  <si>
    <t>Parada de emergência</t>
  </si>
  <si>
    <t>Válvula de segurança contra sobrepressão não permitida</t>
  </si>
  <si>
    <t>Localização dos dispositivos de proteção</t>
  </si>
  <si>
    <t>Dispositivos para desligamento e proteção</t>
  </si>
  <si>
    <t>Conduta em situações de perigo e acidentes</t>
  </si>
  <si>
    <t>Estados operacionais</t>
  </si>
  <si>
    <t>Máquina desbloqueada</t>
  </si>
  <si>
    <t>Estado operacional desligado</t>
  </si>
  <si>
    <t>Estado operacional ligado</t>
  </si>
  <si>
    <t>Riscos residuais</t>
  </si>
  <si>
    <t>Estrutura e funcionamento</t>
  </si>
  <si>
    <t>Sistema de limpeza</t>
  </si>
  <si>
    <t>Tanques (área CR72, CR73, CR74, CR75)</t>
  </si>
  <si>
    <t>Estação de dosagem de concentrado de produto de limpeza</t>
  </si>
  <si>
    <t>Tanque de produtos de limpeza (Área CR70)</t>
  </si>
  <si>
    <t>Circuito de vapor (área CR70)</t>
  </si>
  <si>
    <t>Abastecimento de ar de controle</t>
  </si>
  <si>
    <t>Dispositivos de aviso</t>
  </si>
  <si>
    <t>Dispositivos de comando</t>
  </si>
  <si>
    <t>Console de operação</t>
  </si>
  <si>
    <t>Interface gráfica do usuário</t>
  </si>
  <si>
    <t>Tela principal</t>
  </si>
  <si>
    <t>Favoritos</t>
  </si>
  <si>
    <t>Logon e logoff</t>
  </si>
  <si>
    <t>Menu principal</t>
  </si>
  <si>
    <t>Posto de trabalho</t>
  </si>
  <si>
    <t>Tecnologia de medição, controle e regulagem</t>
  </si>
  <si>
    <t>Armário de distribuição</t>
  </si>
  <si>
    <t>Comando da máquina</t>
  </si>
  <si>
    <t>Comando da limpeza</t>
  </si>
  <si>
    <t>Sistema pneumático</t>
  </si>
  <si>
    <t>Parte elétrica</t>
  </si>
  <si>
    <t>Montagem</t>
  </si>
  <si>
    <t>Avisos de segurança</t>
  </si>
  <si>
    <t>Verificar o volume de fornecimento e executar a inspeção de entrega</t>
  </si>
  <si>
    <t>Transporte</t>
  </si>
  <si>
    <t>Montar</t>
  </si>
  <si>
    <t>Ligar</t>
  </si>
  <si>
    <t>Colocar em funcionamento</t>
  </si>
  <si>
    <t>Desligar</t>
  </si>
  <si>
    <t>Armazenamento</t>
  </si>
  <si>
    <t>Descarte</t>
  </si>
  <si>
    <t>Operação</t>
  </si>
  <si>
    <t>Botão de parada de emergência</t>
  </si>
  <si>
    <t>Luzes de sinalização</t>
  </si>
  <si>
    <t>Sirene de aviso</t>
  </si>
  <si>
    <t>Interruptor principal</t>
  </si>
  <si>
    <t>Válvulas de bloqueio manual</t>
  </si>
  <si>
    <t>Estabelecer prontidão operacional</t>
  </si>
  <si>
    <t>Abrir e configurar a alimentação do ar controlado</t>
  </si>
  <si>
    <t>Ligar a alimentação de tensão</t>
  </si>
  <si>
    <t>Ligar tensão de comando</t>
  </si>
  <si>
    <t>Preparar a máquina</t>
  </si>
  <si>
    <t>Limpeza das máquinas/dos sistemas externos</t>
  </si>
  <si>
    <t>Requisitos</t>
  </si>
  <si>
    <t>Preparar</t>
  </si>
  <si>
    <t>Executar</t>
  </si>
  <si>
    <t>Encerrar</t>
  </si>
  <si>
    <t>Limpeza do sistema CIP</t>
  </si>
  <si>
    <t>Cancelar prontidão operacional</t>
  </si>
  <si>
    <t>Processar posteriormente a máquina</t>
  </si>
  <si>
    <t>Desligar a tensão de comando</t>
  </si>
  <si>
    <t>Desligar a alimentação de tensão</t>
  </si>
  <si>
    <t>Fechar a alimentação de ar de controle</t>
  </si>
  <si>
    <t>Manutenção</t>
  </si>
  <si>
    <t>Observar as normas</t>
  </si>
  <si>
    <t>Desconectar e proteger</t>
  </si>
  <si>
    <t>Esvaziar máquina</t>
  </si>
  <si>
    <t>Encher a máquina com água</t>
  </si>
  <si>
    <t>Manutenção preventiva</t>
  </si>
  <si>
    <t>Instruções sobre as práticas de manutenção preventiva</t>
  </si>
  <si>
    <t>Condições prévias</t>
  </si>
  <si>
    <t>Plano de manutenção preventiva</t>
  </si>
  <si>
    <t>Verificar o funcionamento interruptor de parada de emergência</t>
  </si>
  <si>
    <t>Executar teste de lâmpadas</t>
  </si>
  <si>
    <t>Vistoriar as vedações</t>
  </si>
  <si>
    <t>Apertar as uniões roscadas da tubulação de leite</t>
  </si>
  <si>
    <t>Manutenção de peças adquiridas</t>
  </si>
  <si>
    <t>Limpar superfícies</t>
  </si>
  <si>
    <t>Reparo</t>
  </si>
  <si>
    <t>Falhas</t>
  </si>
  <si>
    <t>Detectar</t>
  </si>
  <si>
    <t>Eliminar</t>
  </si>
  <si>
    <t>Dados técnicos</t>
  </si>
  <si>
    <t>Condições ambientais</t>
  </si>
  <si>
    <t>Requisitos para fluidos</t>
  </si>
  <si>
    <t>Explicação de termos</t>
  </si>
  <si>
    <t>Água</t>
  </si>
  <si>
    <t>Ar</t>
  </si>
  <si>
    <t>Vapor</t>
  </si>
  <si>
    <t>Recomendações de limpeza</t>
  </si>
  <si>
    <t>Higiene do ambiente (piso, paredes, ralos, esteiras)</t>
  </si>
  <si>
    <t>Limpeza externa: máquinas selecionadas</t>
  </si>
  <si>
    <t>Passivação</t>
  </si>
  <si>
    <t>Dados da máquina</t>
  </si>
  <si>
    <t>Valores de ajuste</t>
  </si>
  <si>
    <t>Emissão de ruído</t>
  </si>
  <si>
    <t>Identificação dos dispositivos para desligamento e proteção</t>
  </si>
  <si>
    <t>Compatibilidades dos materiais</t>
  </si>
  <si>
    <t>Características dos materiais de vedação</t>
  </si>
  <si>
    <t>Plano de montagem</t>
  </si>
  <si>
    <t>Fluxograma da tubulação e dos instrumentos (diagrama P&amp;ID)</t>
  </si>
  <si>
    <t>Legenda</t>
  </si>
  <si>
    <t>Anexo</t>
  </si>
  <si>
    <t>Tanques (área CR72, CR74, CR75)</t>
  </si>
  <si>
    <t>Distribuidor (área CR70)</t>
  </si>
  <si>
    <t>Transportar</t>
  </si>
  <si>
    <t>Distribuidor</t>
  </si>
  <si>
    <t>Suministro del rociado con agua caliente en la llenadora</t>
  </si>
  <si>
    <t>Realice el rociado con agua caliente</t>
  </si>
  <si>
    <t>Prepare el distribuidor para la siguiente producción</t>
  </si>
  <si>
    <t>Detergente</t>
  </si>
  <si>
    <t>Certificados</t>
  </si>
  <si>
    <t>Declaración de conformidad CE</t>
  </si>
  <si>
    <t xml:space="preserve">Informações gerais </t>
  </si>
  <si>
    <t>Indicações sobre a documentação técnica</t>
  </si>
  <si>
    <t>Componentes integrados</t>
  </si>
  <si>
    <t xml:space="preserve">Indicações para a leitura </t>
  </si>
  <si>
    <t>Função das Instruções de Segurança</t>
  </si>
  <si>
    <t>Utilização incorreta previsível de modo razoável</t>
  </si>
  <si>
    <t>Requisitos impostos aos funcionários</t>
  </si>
  <si>
    <t>Áreas de perigo e sua identificação</t>
  </si>
  <si>
    <t>Local de colocação dos sinais</t>
  </si>
  <si>
    <t>Paragem de emergência</t>
  </si>
  <si>
    <t>Válvula de segurança contra um excesso de pressão não permitido</t>
  </si>
  <si>
    <t>Grelha de proteção</t>
  </si>
  <si>
    <t>Local de colocação dos dispositivos de proteção</t>
  </si>
  <si>
    <t>Dispositivos para desligar e proteger</t>
  </si>
  <si>
    <t>Comportamento em situações de perigo e acidentes</t>
  </si>
  <si>
    <t>Máquina ativada</t>
  </si>
  <si>
    <t>Estado de operação desligado</t>
  </si>
  <si>
    <t>Recipiente pressurizado</t>
  </si>
  <si>
    <t>Perigos residuais</t>
  </si>
  <si>
    <t>Circuito de produtos de limpeza (área CR70)</t>
  </si>
  <si>
    <t>Alimentação de ar de comando</t>
  </si>
  <si>
    <t>Bomba de retorno (área CR79)</t>
  </si>
  <si>
    <t>Sistema de medição, controlo e regulação</t>
  </si>
  <si>
    <t>Sistema elétrico</t>
  </si>
  <si>
    <t>Indicações de segurança</t>
  </si>
  <si>
    <t>Desativação</t>
  </si>
  <si>
    <t>Interruptor de paragem de emergência</t>
  </si>
  <si>
    <t>Luz de aviso</t>
  </si>
  <si>
    <t>Buzina de aviso</t>
  </si>
  <si>
    <t>Painel de controlo</t>
  </si>
  <si>
    <t>Botões</t>
  </si>
  <si>
    <t>Seletor na limpeza dos camiões cisterna</t>
  </si>
  <si>
    <t>Obter a prontidão operacional</t>
  </si>
  <si>
    <t>Abrir e ajustar a alimentação de ar de comando</t>
  </si>
  <si>
    <t>Ligar a tensão de comando</t>
  </si>
  <si>
    <t>Preparar máquina</t>
  </si>
  <si>
    <t>Limpeza de máquinas/sistemas externos</t>
  </si>
  <si>
    <t>Terminar</t>
  </si>
  <si>
    <t>Cancelar a prontidão operacional</t>
  </si>
  <si>
    <t>Preparar novamente a máquina</t>
  </si>
  <si>
    <t>Desligar tensão de comando</t>
  </si>
  <si>
    <t xml:space="preserve">Fechar a alimentação de ar de comando </t>
  </si>
  <si>
    <t>Conservação</t>
  </si>
  <si>
    <t>Separar e fixar</t>
  </si>
  <si>
    <t>Esvaziar a máquina</t>
  </si>
  <si>
    <t>Abastecer a máquina com água</t>
  </si>
  <si>
    <t>Indicações sobre as práticas de manutenção</t>
  </si>
  <si>
    <t>Plano de manutenção</t>
  </si>
  <si>
    <t>Verificar o funcionamento do interruptor de paragem de emergência</t>
  </si>
  <si>
    <t>Fazer a manutenção do recipiente pressurizado</t>
  </si>
  <si>
    <t>Realizar o teste das lâmpadas</t>
  </si>
  <si>
    <t>Manter vedantes</t>
  </si>
  <si>
    <t>Apertar as uniões roscadas</t>
  </si>
  <si>
    <t>Proceder à manutenção de peças adquiridas</t>
  </si>
  <si>
    <t>Reparação</t>
  </si>
  <si>
    <t>Avarias</t>
  </si>
  <si>
    <t>Detetar</t>
  </si>
  <si>
    <t>Exigências relativas ao meio</t>
  </si>
  <si>
    <t>Higiene do entorno (chão, paredes, drenos, fitas)</t>
  </si>
  <si>
    <t>Limpeza exterior: máquinas selecionadas</t>
  </si>
  <si>
    <t>Identificação dos dispositivos para desligar e proteger</t>
  </si>
  <si>
    <t>Compatibilidade química</t>
  </si>
  <si>
    <t>Propriedades do material da vedação</t>
  </si>
  <si>
    <t>Declaração de conformidade CE</t>
  </si>
  <si>
    <t>Esquema de instalação</t>
  </si>
  <si>
    <t>Fluxograma de tubagens e instrumentos (esquema P&amp;ID)</t>
  </si>
  <si>
    <t>Uso incorreto razoavelmente previsível</t>
  </si>
  <si>
    <t>Dispositivos para isolamento e bloqueio de energias</t>
  </si>
  <si>
    <t>Console de controle</t>
  </si>
  <si>
    <t>Isolamento e bloqueio de energias</t>
  </si>
  <si>
    <t>Dados de alimentação</t>
  </si>
  <si>
    <t>Sinalização dos dispositivos de isolamento e bloqueio de energias</t>
  </si>
  <si>
    <t>Identificação da máquina</t>
  </si>
  <si>
    <t>Grade protetora</t>
  </si>
  <si>
    <t>Isolamento</t>
  </si>
  <si>
    <t>Conduta em situações perigosas e acidentes</t>
  </si>
  <si>
    <t>Máquina desenergizada</t>
  </si>
  <si>
    <t>Estado operacional Desligado</t>
  </si>
  <si>
    <t>Estado operacional Ligado</t>
  </si>
  <si>
    <t>Recipientes pressurizados</t>
  </si>
  <si>
    <t>Circuito de produto de limpeza (área CR70)</t>
  </si>
  <si>
    <t>Alimentação de água quente ao enxágue da tampadora</t>
  </si>
  <si>
    <t>Alimentação do ar de controle</t>
  </si>
  <si>
    <t>Console</t>
  </si>
  <si>
    <t>Login e logoff</t>
  </si>
  <si>
    <t>Sinalizador tipo coluna</t>
  </si>
  <si>
    <t>Abrir e configurar a alimentação do ar de controle</t>
  </si>
  <si>
    <t>Lista de pequenas intervenções</t>
  </si>
  <si>
    <t>Efetuar o enxágue com água quente</t>
  </si>
  <si>
    <t>Fechar a alimentação do ar de controle</t>
  </si>
  <si>
    <t>Drenar a máquina</t>
  </si>
  <si>
    <t>Verificar o funcionamento do botão de parada de emergência</t>
  </si>
  <si>
    <t>Vistoriar recipientes pressurizados</t>
  </si>
  <si>
    <t>Quantidades de escoamento das máquinas</t>
  </si>
  <si>
    <t>Plano de instalação</t>
  </si>
  <si>
    <t>% Repetições</t>
  </si>
  <si>
    <t>Flow meter for steam</t>
  </si>
  <si>
    <t>PlantiT process control system</t>
  </si>
  <si>
    <t>Emptying secured areas</t>
  </si>
  <si>
    <t>Maintaining the dirt collecting filter in the primary feed</t>
  </si>
  <si>
    <t>Servicing the dirt collecting filter in the return</t>
  </si>
  <si>
    <t>Estados de operação</t>
  </si>
  <si>
    <t>Depósitos (área CR72, CR73, CR74, CR75)</t>
  </si>
  <si>
    <t>Alimentação área CR69 e CR70</t>
  </si>
  <si>
    <t>Interface gráfica de utilizador</t>
  </si>
  <si>
    <t>Janela principal</t>
  </si>
  <si>
    <t>Iniciar e encerrar sessão</t>
  </si>
  <si>
    <t>Tecnologia de medição, comando e regulação</t>
  </si>
  <si>
    <t>Estabelecimento da prontidão de operação</t>
  </si>
  <si>
    <t>Cancelar a prontidão de operação</t>
  </si>
  <si>
    <t>Fechar a alimentação de ar de comando</t>
  </si>
  <si>
    <t>Desligar e proteger</t>
  </si>
  <si>
    <t>Apertar as uniões roscadas para tubos de leite</t>
  </si>
  <si>
    <t>Volumes de descarga das máquinas</t>
  </si>
  <si>
    <t>Hot water circuit (area CR70)</t>
  </si>
  <si>
    <t>Distributor in the primary feed to the PET filling machine (area CR70)</t>
  </si>
  <si>
    <t>CIP distributor</t>
  </si>
  <si>
    <t>Distributor in detergent circuit CR70</t>
  </si>
  <si>
    <t>Distributor in detergent circuit CR69</t>
  </si>
  <si>
    <t>Consumption measurement</t>
  </si>
  <si>
    <t>Flow meter for fresh water and service water</t>
  </si>
  <si>
    <t>Preparing the consumption measurement</t>
  </si>
  <si>
    <t>Closing off the cleaning system</t>
  </si>
  <si>
    <t>Closing off the consumption measurement</t>
  </si>
  <si>
    <t>PT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</si>
  <si>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</si>
  <si>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</si>
  <si>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</si>
  <si>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</si>
  <si>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</si>
  <si>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</si>
  <si>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</si>
  <si>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</si>
  <si>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</si>
  <si>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</si>
  <si>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</si>
  <si>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</si>
  <si>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</si>
  <si>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</si>
  <si>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</si>
  <si>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</si>
  <si>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</si>
  <si>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</si>
  <si>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</si>
  <si>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</si>
  <si>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</si>
  <si>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</si>
  <si>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</si>
  <si>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</si>
  <si>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</si>
  <si>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</si>
  <si>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</si>
  <si>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</si>
  <si>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</si>
  <si>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</si>
  <si>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</si>
  <si>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</si>
  <si>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</si>
  <si>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</si>
  <si>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</si>
  <si>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</si>
  <si>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</si>
  <si>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</si>
  <si>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</si>
  <si>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</si>
  <si>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</si>
  <si>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</si>
  <si>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</si>
  <si>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</si>
  <si>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</si>
  <si>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</si>
  <si>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</si>
  <si>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</si>
  <si>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</si>
  <si>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</si>
  <si>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</si>
  <si>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</si>
  <si>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</si>
  <si>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</si>
  <si>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</si>
  <si>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</si>
  <si>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</si>
  <si>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</si>
  <si>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</si>
  <si>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</si>
  <si>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PTC1 - Informações gerais</t>
  </si>
  <si>
    <t>PTC1001 - Grupo-alvo</t>
  </si>
  <si>
    <t>PTC1002 - Informações sobre a documentação técnica</t>
  </si>
  <si>
    <t>PTC1003 - Atribuição da máquina</t>
  </si>
  <si>
    <t>PTC1004 - Componentes integrados</t>
  </si>
  <si>
    <t>PTC1005 - Assistência ao cliente</t>
  </si>
  <si>
    <t>PTC1006 - Direitos autorais</t>
  </si>
  <si>
    <t xml:space="preserve">PTC1007 - Avisos para a leitura </t>
  </si>
  <si>
    <t>PTC2 - Segurança</t>
  </si>
  <si>
    <t>PTC2001 - Função de avisos de segurança</t>
  </si>
  <si>
    <t>PTC2002 - Utilização prevista</t>
  </si>
  <si>
    <t>PTC2003 - Possibilidades de uso incorreto</t>
  </si>
  <si>
    <t>PTC2004 - Deveres do operador</t>
  </si>
  <si>
    <t>PTC2005 - Requisitos relativos ao pessoal</t>
  </si>
  <si>
    <t>PTC2006 - Equipamento de proteção</t>
  </si>
  <si>
    <t>PTC2007 - Áreas de risco e sua identificação</t>
  </si>
  <si>
    <t>PTC2009 - Sinais de aviso</t>
  </si>
  <si>
    <t>PTC2010 - Sinais de obrigação</t>
  </si>
  <si>
    <t>PTC2011 - Localização dos sinais</t>
  </si>
  <si>
    <t>PTC2012 - Dispositivos de proteção</t>
  </si>
  <si>
    <t>PTC2013 - Parada de emergência</t>
  </si>
  <si>
    <t>PTC2014 - Válvula de segurança contra sobrepressão não permitida</t>
  </si>
  <si>
    <t>PTC2015 - Grelha de proteção</t>
  </si>
  <si>
    <t>PTC2016 - Isolamento</t>
  </si>
  <si>
    <t>PTC2017 - Localização dos dispositivos de proteção</t>
  </si>
  <si>
    <t>PTC2018 - Dispositivos para desligamento e proteção</t>
  </si>
  <si>
    <t>PTC2019 - Conduta em situações de perigo e acidentes</t>
  </si>
  <si>
    <t>PTC2020 - Estados operacionais</t>
  </si>
  <si>
    <t>PTC2021 - Máquina desbloqueada</t>
  </si>
  <si>
    <t>PTC2022 - Estado operacional desligado</t>
  </si>
  <si>
    <t>PTC2023 - Estado operacional ligado</t>
  </si>
  <si>
    <t>PTC2024 - Recipiente pressurizado</t>
  </si>
  <si>
    <t>PTC2025 - Riscos residuais</t>
  </si>
  <si>
    <t>PTC3 - Estrutura e funcionamento</t>
  </si>
  <si>
    <t>PTC3001 - Sistema de limpeza</t>
  </si>
  <si>
    <t>PTC3002 - Tanques (área CR72, CR73, CR74, CR75)</t>
  </si>
  <si>
    <t>PTC3003 - Estação de dosagem de concentrado de produto de limpeza</t>
  </si>
  <si>
    <t>PTC3004 - Alimentação área CR69 e CR70</t>
  </si>
  <si>
    <t>PTC3009 - Tanque de produtos de limpeza (Área CR70)</t>
  </si>
  <si>
    <t>PTC3011 - Circuito de vapor (área CR70)</t>
  </si>
  <si>
    <t>PTC3012 - Distribuidor (área CR70)</t>
  </si>
  <si>
    <t>PTC3014 - Alimentação de água quente ao enxágue da tampadora</t>
  </si>
  <si>
    <t>PTC3015 - Abastecimento de ar de controle</t>
  </si>
  <si>
    <t>PTC3019 - Bomba de retorno (área CR79)</t>
  </si>
  <si>
    <t>PTC3020 - Dispositivos de aviso</t>
  </si>
  <si>
    <t>PTC3021 - Dispositivos de comando</t>
  </si>
  <si>
    <t>PTC3022 - Console de operação</t>
  </si>
  <si>
    <t>PTC3023 - Interface gráfica do usuário</t>
  </si>
  <si>
    <t>PTC3024 - Tela principal</t>
  </si>
  <si>
    <t>PTC3025 - Favoritos</t>
  </si>
  <si>
    <t>PTC3026 - Logon e logoff</t>
  </si>
  <si>
    <t>PTC3027 - Menu principal</t>
  </si>
  <si>
    <t>PTC3028 - Sistema de limpeza</t>
  </si>
  <si>
    <t>PTC3029 - Posto de trabalho</t>
  </si>
  <si>
    <t>PTC3031 - Tecnologia de medição, controle e regulagem</t>
  </si>
  <si>
    <t>PTC3032 - Armário de distribuição</t>
  </si>
  <si>
    <t>PTC3033 - Comando da máquina</t>
  </si>
  <si>
    <t>PTC3034 - Comando da limpeza</t>
  </si>
  <si>
    <t>PTC3035 - Sistema pneumático</t>
  </si>
  <si>
    <t>PTC3036 - Parte elétrica</t>
  </si>
  <si>
    <t>PTC4 - Montagem</t>
  </si>
  <si>
    <t>PTC4001 - Avisos de segurança</t>
  </si>
  <si>
    <t>PTC4002 - Verificar o volume de fornecimento e executar a inspeção de entrega</t>
  </si>
  <si>
    <t>PTC4003 - Transporte</t>
  </si>
  <si>
    <t>PTC4004 - Montar</t>
  </si>
  <si>
    <t>PTC4005 - Ligar</t>
  </si>
  <si>
    <t>PTC4006 - Colocar em funcionamento</t>
  </si>
  <si>
    <t>PTC4007 - Desligar</t>
  </si>
  <si>
    <t>PTC4008 - Armazenamento</t>
  </si>
  <si>
    <t>PTC4009 - Descarte</t>
  </si>
  <si>
    <t>PTC5 - Operação</t>
  </si>
  <si>
    <t>PTC5001 - Avisos de segurança</t>
  </si>
  <si>
    <t>PTC5002 - Dispositivos de proteção</t>
  </si>
  <si>
    <t>PTC5003 - Botão de parada de emergência</t>
  </si>
  <si>
    <t>PTC5004 - Dispositivos de aviso</t>
  </si>
  <si>
    <t>PTC5005 - Luzes de sinalização</t>
  </si>
  <si>
    <t>PTC5006 - Sirene de aviso</t>
  </si>
  <si>
    <t>PTC5007 - Dispositivos de comando</t>
  </si>
  <si>
    <t>PTC5010 - Painel de controlo</t>
  </si>
  <si>
    <t>PTC5011 - Botões</t>
  </si>
  <si>
    <t>PTC5014 - Interruptor principal</t>
  </si>
  <si>
    <t>PTC5015 - Válvulas de bloqueio manual</t>
  </si>
  <si>
    <t>PTC5016 - Distribuidor</t>
  </si>
  <si>
    <t>PTC5019 - Seletor na limpeza dos camiões cisterna</t>
  </si>
  <si>
    <t>PTC5020 - Estabelecer prontidão operacional</t>
  </si>
  <si>
    <t>PTC5021 - Abrir e configurar a alimentação do ar controlado</t>
  </si>
  <si>
    <t>PTC5022 - Ligar a alimentação de tensão</t>
  </si>
  <si>
    <t>PTC5023 - Ligar tensão de comando</t>
  </si>
  <si>
    <t>PTC5025 - Preparar a máquina</t>
  </si>
  <si>
    <t>PTC5026 - Limpeza de máquinas/sistemas externos</t>
  </si>
  <si>
    <t>PTC5027 - Limpeza das máquinas/dos sistemas externos</t>
  </si>
  <si>
    <t>PTC5028 - Avisos de segurança</t>
  </si>
  <si>
    <t>PTC5029 - Lista de pequenas intervenções</t>
  </si>
  <si>
    <t>PTC5030 - Requisitos</t>
  </si>
  <si>
    <t>PTC5031 - Preparar</t>
  </si>
  <si>
    <t>PTC5032 - Executar</t>
  </si>
  <si>
    <t>PTC5033 - Encerrar</t>
  </si>
  <si>
    <t>PTC5034 - Efetuar o enxágue com água quente</t>
  </si>
  <si>
    <t>PTC5035 - Limpeza do sistema CIP</t>
  </si>
  <si>
    <t>PTC5036 - Avisos de segurança</t>
  </si>
  <si>
    <t>PTC5037 - Requisitos</t>
  </si>
  <si>
    <t>PTC5038 - Preparar</t>
  </si>
  <si>
    <t>PTC5039 - Executar</t>
  </si>
  <si>
    <t>PTC5040 - Encerrar</t>
  </si>
  <si>
    <t>PTC5044 - Cancelar prontidão operacional</t>
  </si>
  <si>
    <t>PTC5047 - Processar posteriormente a máquina</t>
  </si>
  <si>
    <t>PTC5049 - Desligar a tensão de comando</t>
  </si>
  <si>
    <t>PTC5050 - Desligar a alimentação de tensão</t>
  </si>
  <si>
    <t>PTC5051 - Fechar a alimentação de ar de controle</t>
  </si>
  <si>
    <t>PTC6 - Manutenção</t>
  </si>
  <si>
    <t>PTC6001 - Observar as normas</t>
  </si>
  <si>
    <t>PTC6002 - Desconectar e proteger</t>
  </si>
  <si>
    <t>PTC6003 - Esvaziar máquina</t>
  </si>
  <si>
    <t>PTC6005 - Encher a máquina com água</t>
  </si>
  <si>
    <t>PTC6006 - Manutenção preventiva</t>
  </si>
  <si>
    <t>PTC6007 - Avisos de segurança</t>
  </si>
  <si>
    <t>PTC6008 - Instruções sobre as práticas de manutenção preventiva</t>
  </si>
  <si>
    <t>PTC6009 - Condições prévias</t>
  </si>
  <si>
    <t>PTC6010 - Preparar</t>
  </si>
  <si>
    <t>PTC6011 - Plano de manutenção preventiva</t>
  </si>
  <si>
    <t>PTC6012 - Verificar o funcionamento interruptor de parada de emergência</t>
  </si>
  <si>
    <t>PTC6013 - Fazer a manutenção do recipiente pressurizado</t>
  </si>
  <si>
    <t>PTC6014 - Executar teste de lâmpadas</t>
  </si>
  <si>
    <t>PTC6017 - Vistoriar as vedações</t>
  </si>
  <si>
    <t>PTC6018 - Apertar as uniões roscadas da tubulação de leite</t>
  </si>
  <si>
    <t>PTC6019 - Manutenção de peças adquiridas</t>
  </si>
  <si>
    <t>PTC6020 - Limpar superfícies</t>
  </si>
  <si>
    <t>PTC6021 - Reparo</t>
  </si>
  <si>
    <t>PTC7 - Falhas</t>
  </si>
  <si>
    <t>PTC7001 - Avisos de segurança</t>
  </si>
  <si>
    <t>PTC7002 - Detectar</t>
  </si>
  <si>
    <t>PTC7003 - Eliminar</t>
  </si>
  <si>
    <t>PTC8 - Dados técnicos</t>
  </si>
  <si>
    <t>PTC8001 - Condições ambientais</t>
  </si>
  <si>
    <t>PTC8002 - Requisitos para fluidos</t>
  </si>
  <si>
    <t>PTC8007 - Explicação de termos</t>
  </si>
  <si>
    <t>PTC8008 - Água</t>
  </si>
  <si>
    <t>PTC8009 - Ar</t>
  </si>
  <si>
    <t>PTC8010 - Vapor</t>
  </si>
  <si>
    <t>PTC8011 - Recomendações de limpeza</t>
  </si>
  <si>
    <t>PTC8012 - Higiene do ambiente (piso, paredes, ralos, esteiras)</t>
  </si>
  <si>
    <t>PTC8013 - Limpeza externa: máquinas selecionadas</t>
  </si>
  <si>
    <t>PTC8014 - Passivação</t>
  </si>
  <si>
    <t>PTC8015 - Operação</t>
  </si>
  <si>
    <t>PTC8016 - Dados da máquina</t>
  </si>
  <si>
    <t>PTC8017 - Dados de alimentação</t>
  </si>
  <si>
    <t>PTC8018 - Quantidades de escoamento das máquinas</t>
  </si>
  <si>
    <t>PTC8019 - Valores de ajuste</t>
  </si>
  <si>
    <t>PTC8020 - Emissão de ruído</t>
  </si>
  <si>
    <t>PTC8021 - Manutenção</t>
  </si>
  <si>
    <t>PTC8022 - Identificação dos dispositivos para desligamento e proteção</t>
  </si>
  <si>
    <t>PTC8023 - Compatibilidades dos materiais</t>
  </si>
  <si>
    <t>PTC8025 - Características dos materiais de vedação</t>
  </si>
  <si>
    <t>PTC8026 - Certificados</t>
  </si>
  <si>
    <t>PTC8027 - Declaração de conformidade CE</t>
  </si>
  <si>
    <t>PTC8028 - Plano de montagem</t>
  </si>
  <si>
    <t>PTC8033 - Fluxograma da tubulação e dos instrumentos (diagrama P&amp;ID)</t>
  </si>
  <si>
    <t>PTC8034 - Legenda</t>
  </si>
  <si>
    <t>PTC9 - Anexo</t>
  </si>
  <si>
    <t>x</t>
  </si>
  <si>
    <t>Informação geral</t>
  </si>
  <si>
    <t>Grupo alvo</t>
  </si>
  <si>
    <t>Notas sobre a documentação técnica</t>
  </si>
  <si>
    <t>atribuição máquina</t>
  </si>
  <si>
    <t>Componentes Integrados</t>
  </si>
  <si>
    <t>Atendimento ao Cliente</t>
  </si>
  <si>
    <t>direito autoral</t>
  </si>
  <si>
    <t>Notas sobre a leitura deste manual</t>
  </si>
  <si>
    <t>Informação de Segurança</t>
  </si>
  <si>
    <t>Finalidade de informações de segurança</t>
  </si>
  <si>
    <t>uso pretendido</t>
  </si>
  <si>
    <t>má utilização razoavelmente previsível</t>
  </si>
  <si>
    <t>Obrigações do operador</t>
  </si>
  <si>
    <t>necessidades de pessoal</t>
  </si>
  <si>
    <t>As áreas perigosas e identificação destas áreas</t>
  </si>
  <si>
    <t>sinais de proibição</t>
  </si>
  <si>
    <t>sinais obrigatórios</t>
  </si>
  <si>
    <t>Local de montagem de sinais</t>
  </si>
  <si>
    <t>Equipamento de segurança</t>
  </si>
  <si>
    <t>válvula de alívio para aliviar a pressão excessivamente elevada</t>
  </si>
  <si>
    <t>grade de protecção</t>
  </si>
  <si>
    <t>local de instalação de equipamentos de segurança</t>
  </si>
  <si>
    <t>Equipamento para desligar e garantir</t>
  </si>
  <si>
    <t>Conduta em situações perigosas e, no caso de um acidente</t>
  </si>
  <si>
    <t>estados de funcionamento</t>
  </si>
  <si>
    <t>máquina desenergizado</t>
  </si>
  <si>
    <t>Operando OFF estado</t>
  </si>
  <si>
    <t>Estado de funcionamento ON</t>
  </si>
  <si>
    <t>tanques de pressão</t>
  </si>
  <si>
    <t>riscos residuais</t>
  </si>
  <si>
    <t>sistema de limpeza</t>
  </si>
  <si>
    <t>Tanques (área de CR71, CR72, CR75)</t>
  </si>
  <si>
    <t>Detergente concentrado estação de dosagem</t>
  </si>
  <si>
    <t>Área CR69 e fornecimento CR70</t>
  </si>
  <si>
    <t>Detergente e circuito de vapor (CR70 área)</t>
  </si>
  <si>
    <t>Detergente e circuito de vapor (área CR69)</t>
  </si>
  <si>
    <t>Aquecedor de água fresca (área CR84)</t>
  </si>
  <si>
    <t>Aquecedor de água fresca (área CR83)</t>
  </si>
  <si>
    <t>circuito detergente (CR70 área)</t>
  </si>
  <si>
    <t>circuito de água quente (CR70 área)</t>
  </si>
  <si>
    <t>circuito de vapor (área CR70)</t>
  </si>
  <si>
    <t>Distribuidor (CR70 área)</t>
  </si>
  <si>
    <t>Distribuidor na alimentação primária para o PET máquina de enchimento (CR70 área)</t>
  </si>
  <si>
    <t>fornecimento de ar controle</t>
  </si>
  <si>
    <t>medição do consumo</t>
  </si>
  <si>
    <t>Medidor de vazão para água doce e água de serviço</t>
  </si>
  <si>
    <t>Medidor de fluxo de vapor</t>
  </si>
  <si>
    <t>de sinalização</t>
  </si>
  <si>
    <t>controles operacionais</t>
  </si>
  <si>
    <t>console do operador</t>
  </si>
  <si>
    <t>favoritos</t>
  </si>
  <si>
    <t>Entrando e fora</t>
  </si>
  <si>
    <t>O acesso remoto para o Serviço de Diagnóstico Remoto (Redis)</t>
  </si>
  <si>
    <t>Medição, controle e equipamentos de regulação</t>
  </si>
  <si>
    <t>armário de comando</t>
  </si>
  <si>
    <t>controle da máquina</t>
  </si>
  <si>
    <t>controle de limpeza</t>
  </si>
  <si>
    <t>Pneumática</t>
  </si>
  <si>
    <t>Instruções de segurança</t>
  </si>
  <si>
    <t>Verifique os itens incluídos na entrega e inspecionar o material</t>
  </si>
  <si>
    <t>Instalação</t>
  </si>
  <si>
    <t>Conexão</t>
  </si>
  <si>
    <t>comissionamento</t>
  </si>
  <si>
    <t>desactivação</t>
  </si>
  <si>
    <t>Disposição</t>
  </si>
  <si>
    <t>Botão de emergência</t>
  </si>
  <si>
    <t>lâmpada de controle</t>
  </si>
  <si>
    <t>buzina de sinal</t>
  </si>
  <si>
    <t>sistema de controlo de processo PlantiT</t>
  </si>
  <si>
    <t>teclado</t>
  </si>
  <si>
    <t>botoes</t>
  </si>
  <si>
    <t>[Redis] interruptor de chave</t>
  </si>
  <si>
    <t>interruptor principal</t>
  </si>
  <si>
    <t>Manual Válvulas</t>
  </si>
  <si>
    <t>distribuidor CIP</t>
  </si>
  <si>
    <t>Distribuidor na alimentação de mídia</t>
  </si>
  <si>
    <t>Seletor na Limpeza dos Camioes cisterna</t>
  </si>
  <si>
    <t>Preparação para a operação</t>
  </si>
  <si>
    <t>A abertura e definindo o fornecimento de ar de controle</t>
  </si>
  <si>
    <t>Ligar a fonte de alimentação</t>
  </si>
  <si>
    <t>Ligar a tensão de controle</t>
  </si>
  <si>
    <t>Ligar o gravador de dados</t>
  </si>
  <si>
    <t>Preparando a máquina</t>
  </si>
  <si>
    <t>Preparando a medição de consumo</t>
  </si>
  <si>
    <t>Máquinas de limpeza / sistemas externos</t>
  </si>
  <si>
    <t>Lista de Pequenas intervenções</t>
  </si>
  <si>
    <t>Pré-requisitos</t>
  </si>
  <si>
    <t>Preparação</t>
  </si>
  <si>
    <t>Execução</t>
  </si>
  <si>
    <t>produção terminando</t>
  </si>
  <si>
    <t>Distribuidor em CR70 circuito detergente</t>
  </si>
  <si>
    <t>Distribuidor em CR69 circuito detergente</t>
  </si>
  <si>
    <t>Tendo a máquina de operação</t>
  </si>
  <si>
    <t>Fechando o sistema de limpeza</t>
  </si>
  <si>
    <t>Fechando a medição de consumo</t>
  </si>
  <si>
    <t>preparação subsequente da máquina</t>
  </si>
  <si>
    <t>Desligar o gravador de dados</t>
  </si>
  <si>
    <t>Desligando a tensão de controle</t>
  </si>
  <si>
    <t>Desligar a fonte de alimentação</t>
  </si>
  <si>
    <t>Fechando o abastecimento de ar de comando</t>
  </si>
  <si>
    <t>manutenção</t>
  </si>
  <si>
    <t>Conformidade com os regulamentos</t>
  </si>
  <si>
    <t>Desligar e garantir</t>
  </si>
  <si>
    <t>Esvaziamento da máquina</t>
  </si>
  <si>
    <t>Esvaziamento áreas seguras</t>
  </si>
  <si>
    <t>Notas sobre práticas de manutenção</t>
  </si>
  <si>
    <t>requisitos</t>
  </si>
  <si>
    <t>Cronograma de manutenção</t>
  </si>
  <si>
    <t>Manutenção do tanque de pressão</t>
  </si>
  <si>
    <t>Realizar um teste de lâmpada</t>
  </si>
  <si>
    <t>Mantendo a sujeira recolha de filtro na alimentação primária</t>
  </si>
  <si>
    <t>Manutenção da sujidade recolha de filtro no retorno</t>
  </si>
  <si>
    <t>manter selos</t>
  </si>
  <si>
    <t>Aperte as juntas de tubo de leite</t>
  </si>
  <si>
    <t>Manter peças compradas</t>
  </si>
  <si>
    <t>limpeza de superfícies</t>
  </si>
  <si>
    <t>conserto</t>
  </si>
  <si>
    <t>Falhas, panes</t>
  </si>
  <si>
    <t>detectar falhas</t>
  </si>
  <si>
    <t>retificar falhas</t>
  </si>
  <si>
    <t>requisitos do ambiente</t>
  </si>
  <si>
    <t>requisitos de mídia</t>
  </si>
  <si>
    <t>Energia elétrica</t>
  </si>
  <si>
    <t>especificações da máquina</t>
  </si>
  <si>
    <t>dados de abastecimento</t>
  </si>
  <si>
    <t>Explicação dos termos</t>
  </si>
  <si>
    <t>limpeza recomendações</t>
  </si>
  <si>
    <t>Higiene da área circundante (chão, paredes, sulcos, cintos)</t>
  </si>
  <si>
    <t>Caudais para as máquinas</t>
  </si>
  <si>
    <t>Definições</t>
  </si>
  <si>
    <t>emissões de ruído</t>
  </si>
  <si>
    <t>Rotulagem de equipamento para desligar e garantir</t>
  </si>
  <si>
    <t>Compatibilidade de Materiais</t>
  </si>
  <si>
    <t>plano de instalação</t>
  </si>
  <si>
    <t>área CR69</t>
  </si>
  <si>
    <t>Tubagem e instrumentação diagrama (P &amp; ID)</t>
  </si>
  <si>
    <t>lenda</t>
  </si>
  <si>
    <t>lista de conexão de mídia</t>
  </si>
  <si>
    <t>Apêndice</t>
  </si>
  <si>
    <t>PTC3005 - Detergente e circuito de vapor (CR70 área)</t>
  </si>
  <si>
    <t>PTC3006 - Detergente e circuito de vapor (área CR69)</t>
  </si>
  <si>
    <t>PTC3007 - Aquecedor de água fresca (área CR84)</t>
  </si>
  <si>
    <t>PTC3008 - Aquecedor de água fresca (área CR83)</t>
  </si>
  <si>
    <t>PTC3013 - Distribuidor na alimentação primária para o PET máquina de enchimento (CR70 área)</t>
  </si>
  <si>
    <t>PTC3018 - Medidor de fluxo de vapor</t>
  </si>
  <si>
    <t>PTC5012 - [Redis] interruptor de chave</t>
  </si>
  <si>
    <t>PTC5018 - Distribuidor na alimentação de mídia</t>
  </si>
  <si>
    <t>PTC5045 - Fechando o sistema de limpeza</t>
  </si>
  <si>
    <t>PTC5046 - Fechando a medição de consumo</t>
  </si>
  <si>
    <t>PTC8003 - Energia elétrica</t>
  </si>
  <si>
    <t>PTC8004 - Operação</t>
  </si>
  <si>
    <t>PTC8024 - Detergente</t>
  </si>
  <si>
    <t>PTC8031 - Aquecedor de água fresca (área CR83)</t>
  </si>
  <si>
    <t>PTC8032 - Aquecedor de água fresca (área CR84)</t>
  </si>
  <si>
    <t>PTC2008 - Sinais de proibição</t>
  </si>
  <si>
    <t>PTC3010 - Circuito de água quente (CR70 área)</t>
  </si>
  <si>
    <t>PTC3016 - Medição de Consumo</t>
  </si>
  <si>
    <t>PTC3030 - Acesso remoto para o Serviço de Diagnóstico Remoto (Redis)</t>
  </si>
  <si>
    <t>PTC5008 - Sistema de controle de processo PlantiT</t>
  </si>
  <si>
    <t>PTC5009 - Teclado</t>
  </si>
  <si>
    <t>PTC5013 - Teclado</t>
  </si>
  <si>
    <t>PTC5017 - Distribuidor CIP</t>
  </si>
  <si>
    <t>PTC5024 - Ligando o gravador de dados</t>
  </si>
  <si>
    <t>PTC5041 - Preparando o distribuidor para a próxima produção</t>
  </si>
  <si>
    <t>PTC5042 - Distribuidor no circuito detergente CR70</t>
  </si>
  <si>
    <t>PTC5043 - Distribuidor no circuito detergente CR69</t>
  </si>
  <si>
    <t>PTC5048 - Desligando o gravador de dados</t>
  </si>
  <si>
    <t>PTC6004 - Esvaziamento de áreas seguras</t>
  </si>
  <si>
    <t>PTC6015 - Manutenção do filtro coletor de sujeira na alimentação primária</t>
  </si>
  <si>
    <t>PTC6016 - Manutenção do filtro coletor de sujeira no retorno</t>
  </si>
  <si>
    <t>PTC8005 - Especificações da máquina</t>
  </si>
  <si>
    <t>PTC8006 - Dados de abastecimento</t>
  </si>
  <si>
    <t>PTC8029 - Sistema de limpeza</t>
  </si>
  <si>
    <t>PTC8030 - Área CR69</t>
  </si>
  <si>
    <t>PTC3017 - Medidor de vazão para água fresca e água de serviço</t>
  </si>
  <si>
    <t>PTC8035 - Lista de conexões de mídia</t>
  </si>
  <si>
    <t xml:space="preserve"> Dispositivos de aviso</t>
  </si>
  <si>
    <t xml:space="preserve"> Montar</t>
  </si>
  <si>
    <t xml:space="preserve"> Preparar</t>
  </si>
  <si>
    <t xml:space="preserve"> Equipar</t>
  </si>
  <si>
    <t xml:space="preserve"> Transporte</t>
  </si>
  <si>
    <t xml:space="preserve"> Certificados</t>
  </si>
  <si>
    <t xml:space="preserve"> Informações gerais</t>
  </si>
  <si>
    <t xml:space="preserve"> Grupo-alvo</t>
  </si>
  <si>
    <t xml:space="preserve"> Indicações sobre a documentação técnica</t>
  </si>
  <si>
    <t xml:space="preserve"> Assistência ao cliente</t>
  </si>
  <si>
    <t xml:space="preserve"> Direitos autorais</t>
  </si>
  <si>
    <t xml:space="preserve"> Indicações para a leitura </t>
  </si>
  <si>
    <t xml:space="preserve"> Segurança</t>
  </si>
  <si>
    <t xml:space="preserve"> Função das Instruções de Segurança</t>
  </si>
  <si>
    <t xml:space="preserve"> Utilização prevista</t>
  </si>
  <si>
    <t xml:space="preserve"> Utilização incorreta previsível de modo razoável</t>
  </si>
  <si>
    <t xml:space="preserve"> Deveres do operador</t>
  </si>
  <si>
    <t xml:space="preserve"> Requisitos impostos aos funcionários</t>
  </si>
  <si>
    <t xml:space="preserve"> Equipamento de proteção</t>
  </si>
  <si>
    <t xml:space="preserve"> Áreas de perigo e sua identificação</t>
  </si>
  <si>
    <t xml:space="preserve"> Sinais de proibição</t>
  </si>
  <si>
    <t xml:space="preserve"> Sinais de aviso</t>
  </si>
  <si>
    <t xml:space="preserve"> Sinais de obrigação</t>
  </si>
  <si>
    <t xml:space="preserve"> Dispositivos de proteção</t>
  </si>
  <si>
    <t xml:space="preserve"> Interruptor de paragem de emergência</t>
  </si>
  <si>
    <t xml:space="preserve"> Dispositivos para desligar e proteger</t>
  </si>
  <si>
    <t xml:space="preserve"> Comportamento em situações de perigo e acidentes</t>
  </si>
  <si>
    <t xml:space="preserve"> Estados operacionais e modos de operação</t>
  </si>
  <si>
    <t xml:space="preserve"> Máquina desbloqueada</t>
  </si>
  <si>
    <t xml:space="preserve"> Estado de operação desligado</t>
  </si>
  <si>
    <t xml:space="preserve"> Estado operacional ligado</t>
  </si>
  <si>
    <t xml:space="preserve"> Perigos residuais</t>
  </si>
  <si>
    <t xml:space="preserve"> Estrutura e funcionamento</t>
  </si>
  <si>
    <t xml:space="preserve"> Interface gráfica de utilizador</t>
  </si>
  <si>
    <t xml:space="preserve"> Tecnologia de medição, comando e regulação</t>
  </si>
  <si>
    <t xml:space="preserve"> Armário de distribuição</t>
  </si>
  <si>
    <t xml:space="preserve"> Montagem</t>
  </si>
  <si>
    <t xml:space="preserve"> Verificar o volume de fornecimento e executar a inspeção de entrega</t>
  </si>
  <si>
    <t xml:space="preserve"> Ligar</t>
  </si>
  <si>
    <t xml:space="preserve"> Colocar em funcionamento</t>
  </si>
  <si>
    <t xml:space="preserve"> Desativação</t>
  </si>
  <si>
    <t xml:space="preserve"> Armazenamento</t>
  </si>
  <si>
    <t xml:space="preserve"> Colocar novamente em funcionamento</t>
  </si>
  <si>
    <t xml:space="preserve"> Eliminar</t>
  </si>
  <si>
    <t xml:space="preserve"> Operação</t>
  </si>
  <si>
    <t xml:space="preserve"> Indicações de segurança</t>
  </si>
  <si>
    <t xml:space="preserve"> Dispositivos de comando</t>
  </si>
  <si>
    <t xml:space="preserve"> Estabelecimento da prontidão de operação</t>
  </si>
  <si>
    <t xml:space="preserve"> Produção</t>
  </si>
  <si>
    <t xml:space="preserve"> Monitorizar</t>
  </si>
  <si>
    <t xml:space="preserve"> Limpeza</t>
  </si>
  <si>
    <t xml:space="preserve"> Cancelar a prontidão de operação</t>
  </si>
  <si>
    <t xml:space="preserve"> Conservação</t>
  </si>
  <si>
    <t xml:space="preserve"> Observar as normas</t>
  </si>
  <si>
    <t xml:space="preserve"> Desligar e proteger</t>
  </si>
  <si>
    <t xml:space="preserve"> Manutenção</t>
  </si>
  <si>
    <t xml:space="preserve"> Indicações sobre as práticas de manutenção</t>
  </si>
  <si>
    <t xml:space="preserve"> Plano de manutenção</t>
  </si>
  <si>
    <t xml:space="preserve"> Plano de lubrificação</t>
  </si>
  <si>
    <t xml:space="preserve"> Avarias</t>
  </si>
  <si>
    <t xml:space="preserve"> Dados técnicos</t>
  </si>
  <si>
    <t xml:space="preserve"> Requisitos para fluidos</t>
  </si>
  <si>
    <t xml:space="preserve"> Emissão de ruído</t>
  </si>
  <si>
    <t xml:space="preserve"> Identificação dos pontos de lubrificação</t>
  </si>
  <si>
    <t xml:space="preserve"> Identificação dos dispositivos para desligar e proteger</t>
  </si>
  <si>
    <t xml:space="preserve"> Valores limites para a limpeza de superfícies</t>
  </si>
  <si>
    <t xml:space="preserve"> Anexo</t>
  </si>
  <si>
    <t xml:space="preserve"> Atribuição da máquina</t>
  </si>
  <si>
    <t xml:space="preserve"> Executar</t>
  </si>
  <si>
    <t xml:space="preserve"> Modo de operação Teleassistência</t>
  </si>
  <si>
    <t xml:space="preserve"> Declaração de conformidade CE</t>
  </si>
  <si>
    <t xml:space="preserve"> Informações sobre a documentação técnica</t>
  </si>
  <si>
    <t xml:space="preserve"> Avisos para a leitura </t>
  </si>
  <si>
    <t xml:space="preserve"> Função de avisos de segurança</t>
  </si>
  <si>
    <t xml:space="preserve"> Possibilidades de uso incorreto</t>
  </si>
  <si>
    <t xml:space="preserve"> Requisitos relativos ao pessoal</t>
  </si>
  <si>
    <t xml:space="preserve"> Áreas de risco e sua identificação</t>
  </si>
  <si>
    <t xml:space="preserve"> Botões de parada de emergência</t>
  </si>
  <si>
    <t xml:space="preserve"> Conduta em situações de perigo e acidentes</t>
  </si>
  <si>
    <t xml:space="preserve"> Riscos residuais</t>
  </si>
  <si>
    <t xml:space="preserve"> Desligar</t>
  </si>
  <si>
    <t xml:space="preserve"> Descarte</t>
  </si>
  <si>
    <t xml:space="preserve"> Avisos de segurança</t>
  </si>
  <si>
    <t xml:space="preserve"> Estabelecer prontidão operacional</t>
  </si>
  <si>
    <t xml:space="preserve"> Preparação</t>
  </si>
  <si>
    <t xml:space="preserve"> Iniciar produção</t>
  </si>
  <si>
    <t xml:space="preserve"> Monitorar</t>
  </si>
  <si>
    <t xml:space="preserve"> Cancelar prontidão operacional</t>
  </si>
  <si>
    <t xml:space="preserve"> Manutenção preventiva</t>
  </si>
  <si>
    <t xml:space="preserve"> Falhas</t>
  </si>
  <si>
    <t xml:space="preserve"> Eliminação</t>
  </si>
  <si>
    <t xml:space="preserve"> Ar comprimido</t>
  </si>
  <si>
    <t xml:space="preserve"> Tipos</t>
  </si>
  <si>
    <t xml:space="preserve"> Valores Limites para a Limpeza de Superfícies</t>
  </si>
  <si>
    <t xml:space="preserve"> Setup</t>
  </si>
  <si>
    <t>Nível</t>
  </si>
  <si>
    <t xml:space="preserve"> Uso incorreto razoavelmente previsível</t>
  </si>
  <si>
    <t xml:space="preserve"> Equipamento de proteção individual</t>
  </si>
  <si>
    <t xml:space="preserve"> Áreas de risco e sua marcação</t>
  </si>
  <si>
    <t xml:space="preserve"> Placas de aviso</t>
  </si>
  <si>
    <t xml:space="preserve"> Chaves seccionadoras dos acionamentos</t>
  </si>
  <si>
    <t xml:space="preserve"> Proteção</t>
  </si>
  <si>
    <t xml:space="preserve"> Placas de proteção</t>
  </si>
  <si>
    <t xml:space="preserve"> Dispositivos para isolamento e bloqueio de energias</t>
  </si>
  <si>
    <t xml:space="preserve"> Conduta em situações perigosas e acidentes</t>
  </si>
  <si>
    <t xml:space="preserve"> Estados de operação e modos de operação</t>
  </si>
  <si>
    <t xml:space="preserve"> Máquina desenergizada</t>
  </si>
  <si>
    <t xml:space="preserve"> Estado operacional Deslig</t>
  </si>
  <si>
    <t xml:space="preserve"> Estado operacional Lig</t>
  </si>
  <si>
    <t xml:space="preserve"> Sistema de transporte contínuo</t>
  </si>
  <si>
    <t xml:space="preserve"> Comando do transportador</t>
  </si>
  <si>
    <t xml:space="preserve"> Áreas</t>
  </si>
  <si>
    <t xml:space="preserve"> Segmentos</t>
  </si>
  <si>
    <t xml:space="preserve"> Guia</t>
  </si>
  <si>
    <t xml:space="preserve"> Postos de trabalho</t>
  </si>
  <si>
    <t xml:space="preserve"> Transportador</t>
  </si>
  <si>
    <t xml:space="preserve"> Instalação</t>
  </si>
  <si>
    <t xml:space="preserve"> Lista de pequenas intervenções</t>
  </si>
  <si>
    <t xml:space="preserve"> Iniciar</t>
  </si>
  <si>
    <t xml:space="preserve"> Parar</t>
  </si>
  <si>
    <t xml:space="preserve"> Retomar</t>
  </si>
  <si>
    <t xml:space="preserve"> Encerrar</t>
  </si>
  <si>
    <t xml:space="preserve"> Pré-requisitos para a limpeza</t>
  </si>
  <si>
    <t xml:space="preserve"> Preparar a limpeza</t>
  </si>
  <si>
    <t xml:space="preserve"> Realizar a limpeza</t>
  </si>
  <si>
    <t xml:space="preserve"> Isolamento e bloqueio de energias</t>
  </si>
  <si>
    <t xml:space="preserve"> Instruções sobre as práticas de manutenção preventiva</t>
  </si>
  <si>
    <t xml:space="preserve"> Plano de manutenção preventiva</t>
  </si>
  <si>
    <t xml:space="preserve"> Descrição detalhada das atividades de manutenção preventiva</t>
  </si>
  <si>
    <t xml:space="preserve"> Energia elétrica</t>
  </si>
  <si>
    <t xml:space="preserve"> Embalagem grupada A</t>
  </si>
  <si>
    <t xml:space="preserve"> Embalagem grupada B</t>
  </si>
  <si>
    <t xml:space="preserve"> Lubrificantes</t>
  </si>
  <si>
    <t xml:space="preserve"> Sinalização dos pontos de lubrificação</t>
  </si>
  <si>
    <t xml:space="preserve"> Sinalização dos dispositivos de isolamento e bloqueio de energias</t>
  </si>
  <si>
    <t xml:space="preserve"> Produtos de limpeza</t>
  </si>
  <si>
    <t xml:space="preserve"> Botão de parada de emergência</t>
  </si>
  <si>
    <t xml:space="preserve"> Componentes e suplementos integrados</t>
  </si>
  <si>
    <t xml:space="preserve"> Sinais de advertência</t>
  </si>
  <si>
    <t xml:space="preserve"> Chave seccionadora dos acionamentos (chave de manutenção e serviço)</t>
  </si>
  <si>
    <t xml:space="preserve"> Cerca de proteção com porta de proteção no distribuidor de embalagens grupadas</t>
  </si>
  <si>
    <t xml:space="preserve"> Conceito de parada de emergência</t>
  </si>
  <si>
    <t xml:space="preserve"> Guias</t>
  </si>
  <si>
    <t xml:space="preserve"> Console 01</t>
  </si>
  <si>
    <t xml:space="preserve"> Interface gráfica do usuário</t>
  </si>
  <si>
    <t xml:space="preserve"> Remote Diagnostic Service do acesso remoto (ReDiS)</t>
  </si>
  <si>
    <t xml:space="preserve"> Tecnologia de medição, controle e regulação</t>
  </si>
  <si>
    <t xml:space="preserve"> Quadro elétrico</t>
  </si>
  <si>
    <t xml:space="preserve"> Interruptor de chave Remote Diagnostic Service do acesso remoto [ReDiS]</t>
  </si>
  <si>
    <t xml:space="preserve"> Elemento de comando "Confirmar falha"</t>
  </si>
  <si>
    <t xml:space="preserve"> Console "P10"</t>
  </si>
  <si>
    <t xml:space="preserve"> Dispositivo de comando para o distribuidor de embalagens grupadas</t>
  </si>
  <si>
    <t xml:space="preserve"> Sinalizador rotativo</t>
  </si>
  <si>
    <t xml:space="preserve"> Sinalizador individual</t>
  </si>
  <si>
    <t xml:space="preserve"> Buzina</t>
  </si>
  <si>
    <t xml:space="preserve"> Modo de operação Telesserviço</t>
  </si>
  <si>
    <t>3.1.2 Áreas....................................................................................................................... 35</t>
  </si>
  <si>
    <t xml:space="preserve"> Chave seccionadora dos acionamentos (interruptor de reparo e de serviço)</t>
  </si>
  <si>
    <t xml:space="preserve"> Tecnologia de medição, controle e regulagem</t>
  </si>
  <si>
    <t xml:space="preserve"> Quadro elétrico com chave geral (interruptor principal)</t>
  </si>
  <si>
    <t xml:space="preserve"> Luz intermitente</t>
  </si>
  <si>
    <t xml:space="preserve"> Prosseguir</t>
  </si>
  <si>
    <t xml:space="preserve"> Identificação da máquina</t>
  </si>
  <si>
    <t xml:space="preserve"> Áreas de risco e sua sinalização</t>
  </si>
  <si>
    <t xml:space="preserve"> Chave seccionadora dos acionamentos</t>
  </si>
  <si>
    <t xml:space="preserve"> Zonas de parada de emergência</t>
  </si>
  <si>
    <t xml:space="preserve"> Estados e modos de operação</t>
  </si>
  <si>
    <t xml:space="preserve"> Controle de transportador</t>
  </si>
  <si>
    <t xml:space="preserve"> Guia anticongestionamento</t>
  </si>
  <si>
    <t xml:space="preserve"> Execução</t>
  </si>
  <si>
    <t xml:space="preserve"> Descrição detalhada das atividades de manutenção</t>
  </si>
  <si>
    <t xml:space="preserve"> Resolução</t>
  </si>
  <si>
    <t xml:space="preserve"> Água em geral</t>
  </si>
  <si>
    <t xml:space="preserve"> Estado operacional Desligado</t>
  </si>
  <si>
    <t xml:space="preserve"> Estado operacional Ligado</t>
  </si>
  <si>
    <t xml:space="preserve"> Interruptor de desligamento dos acionamentos</t>
  </si>
  <si>
    <t xml:space="preserve"> Proteção das roldanas de acionamento para a corrente</t>
  </si>
  <si>
    <t xml:space="preserve"> Dispositivo de proteção do dispositivo rotativo com sistema pneumático</t>
  </si>
  <si>
    <t xml:space="preserve"> Válvula de bloqueio do sistema pneumático</t>
  </si>
  <si>
    <t xml:space="preserve"> Estrutura e função</t>
  </si>
  <si>
    <t xml:space="preserve"> Comando de transporte</t>
  </si>
  <si>
    <t xml:space="preserve"> Corrimão</t>
  </si>
  <si>
    <t xml:space="preserve"> Continuar</t>
  </si>
  <si>
    <t xml:space="preserve"> Terminar</t>
  </si>
  <si>
    <t xml:space="preserve"> Adaptação</t>
  </si>
  <si>
    <t xml:space="preserve"> Descrição detalhada dos trabalhos de manutenção</t>
  </si>
  <si>
    <t xml:space="preserve"> Componentes integrados e abastecimentos</t>
  </si>
  <si>
    <t xml:space="preserve"> Interruptor para reparações</t>
  </si>
  <si>
    <t xml:space="preserve"> Chapas de proteção</t>
  </si>
  <si>
    <t xml:space="preserve"> Estrutura de guia</t>
  </si>
  <si>
    <t xml:space="preserve"> Painel de controlo "R</t>
  </si>
  <si>
    <t xml:space="preserve"> Elemento de controlo "Disparador remoto R</t>
  </si>
  <si>
    <t xml:space="preserve"> Elemento de controlo "Confirmar avaria"</t>
  </si>
  <si>
    <t xml:space="preserve"> Luz giratória</t>
  </si>
  <si>
    <t xml:space="preserve"> Luz intermitente com buzina</t>
  </si>
  <si>
    <t xml:space="preserve"> Estabelecer a operacionalidade</t>
  </si>
  <si>
    <t xml:space="preserve"> Requisitos para a limpeza</t>
  </si>
  <si>
    <t xml:space="preserve"> Executar a limpeza</t>
  </si>
  <si>
    <t xml:space="preserve"> Cancelar a operacionalidade</t>
  </si>
  <si>
    <t xml:space="preserve"> água em geral</t>
  </si>
  <si>
    <t xml:space="preserve"> Interruptor de manutenção</t>
  </si>
  <si>
    <t xml:space="preserve"> Aba protetora das rodas dentadas do acionamento</t>
  </si>
  <si>
    <t xml:space="preserve"> Dispositivos para desligamento e proteção</t>
  </si>
  <si>
    <t xml:space="preserve"> Estado operacional desligado</t>
  </si>
  <si>
    <t xml:space="preserve"> Controle de transporte</t>
  </si>
  <si>
    <t xml:space="preserve"> Esteira transportadora de correia</t>
  </si>
  <si>
    <t xml:space="preserve"> Curva da cinta transportadora articulada</t>
  </si>
  <si>
    <t xml:space="preserve"> Corrimãos</t>
  </si>
  <si>
    <t xml:space="preserve"> Console de operação "1TB004+P1"</t>
  </si>
  <si>
    <t xml:space="preserve"> Elemento de comando do acionamento remoto "1TB001+M1-1S1:EE02"</t>
  </si>
  <si>
    <t xml:space="preserve"> Elemento de comando "Stop/Start"</t>
  </si>
  <si>
    <t xml:space="preserve"> Luz periférica</t>
  </si>
  <si>
    <t xml:space="preserve"> Encerrar a produção</t>
  </si>
  <si>
    <t xml:space="preserve"> Desconectar e proteger</t>
  </si>
  <si>
    <t xml:space="preserve"> Identificação dos dispositivos para desligamento e proteção</t>
  </si>
  <si>
    <t xml:space="preserve"> Painel de comando "1TB004+P1"</t>
  </si>
  <si>
    <t xml:space="preserve"> Estabelecer prontidão de operação</t>
  </si>
  <si>
    <t xml:space="preserve"> Cancelar prontidão de operação</t>
  </si>
  <si>
    <t xml:space="preserve"> Modo de operação Teleservice</t>
  </si>
  <si>
    <t xml:space="preserve"> General information</t>
  </si>
  <si>
    <t xml:space="preserve"> Target Group</t>
  </si>
  <si>
    <t xml:space="preserve"> Notes on technical documentation</t>
  </si>
  <si>
    <t xml:space="preserve"> Machine assignment</t>
  </si>
  <si>
    <t xml:space="preserve"> Integrated components and other components</t>
  </si>
  <si>
    <t xml:space="preserve"> Customer Service</t>
  </si>
  <si>
    <t xml:space="preserve"> Copyright</t>
  </si>
  <si>
    <t xml:space="preserve"> Notes on reading this manual</t>
  </si>
  <si>
    <t xml:space="preserve"> Safety</t>
  </si>
  <si>
    <t xml:space="preserve"> Purpose of safety information</t>
  </si>
  <si>
    <t xml:space="preserve"> Intended use</t>
  </si>
  <si>
    <t xml:space="preserve"> Reasonably foreseeable misuse</t>
  </si>
  <si>
    <t xml:space="preserve"> Obligations of the operator</t>
  </si>
  <si>
    <t xml:space="preserve"> Personnel requirements</t>
  </si>
  <si>
    <t xml:space="preserve"> Protective equipment</t>
  </si>
  <si>
    <t xml:space="preserve"> Hazardous areas and identification of these areas</t>
  </si>
  <si>
    <t xml:space="preserve"> Warning signs</t>
  </si>
  <si>
    <t xml:space="preserve"> Mandatory signs</t>
  </si>
  <si>
    <t xml:space="preserve"> Safety equipment</t>
  </si>
  <si>
    <t xml:space="preserve"> Emergency stop switch</t>
  </si>
  <si>
    <t xml:space="preserve"> Circuit breakers for the drives (repair switch and/or service switch)</t>
  </si>
  <si>
    <t xml:space="preserve"> Guard cover</t>
  </si>
  <si>
    <t xml:space="preserve"> Safety guards</t>
  </si>
  <si>
    <t xml:space="preserve"> Equipment for disconnecting and securing</t>
  </si>
  <si>
    <t xml:space="preserve"> Conduct in hazardous situations and in the event of an accident</t>
  </si>
  <si>
    <t xml:space="preserve"> Operating statuses and operating modes</t>
  </si>
  <si>
    <t xml:space="preserve"> Deenergized machine</t>
  </si>
  <si>
    <t xml:space="preserve"> Operating status OFF</t>
  </si>
  <si>
    <t xml:space="preserve"> Operating status ON</t>
  </si>
  <si>
    <t xml:space="preserve"> Residual risks</t>
  </si>
  <si>
    <t xml:space="preserve"> Layout and function</t>
  </si>
  <si>
    <t xml:space="preserve"> Continuous conveyor system</t>
  </si>
  <si>
    <t xml:space="preserve"> Conveyor control</t>
  </si>
  <si>
    <t xml:space="preserve"> Areas</t>
  </si>
  <si>
    <t xml:space="preserve"> Segments</t>
  </si>
  <si>
    <t xml:space="preserve"> Railings</t>
  </si>
  <si>
    <t xml:space="preserve"> Workstations</t>
  </si>
  <si>
    <t xml:space="preserve"> Operating controls</t>
  </si>
  <si>
    <t xml:space="preserve"> Operator console 1TG004+P1</t>
  </si>
  <si>
    <t xml:space="preserve"> Graphical user interface</t>
  </si>
  <si>
    <t xml:space="preserve"> Remote Diagnostic Service (ReDiS) remote access</t>
  </si>
  <si>
    <t xml:space="preserve"> Signaling equipment</t>
  </si>
  <si>
    <t xml:space="preserve"> Measuring, control and regulating equipment</t>
  </si>
  <si>
    <t xml:space="preserve"> Switch cabinet with main switch and UPS switch</t>
  </si>
  <si>
    <t xml:space="preserve"> Assembly</t>
  </si>
  <si>
    <t xml:space="preserve"> Safety instructions</t>
  </si>
  <si>
    <t xml:space="preserve"> Check the items included in the delivery and inspect the shipment</t>
  </si>
  <si>
    <t xml:space="preserve"> Conveyor</t>
  </si>
  <si>
    <t xml:space="preserve"> Installation</t>
  </si>
  <si>
    <t xml:space="preserve"> Connection</t>
  </si>
  <si>
    <t xml:space="preserve"> Commissioning</t>
  </si>
  <si>
    <t xml:space="preserve"> Decommissioning</t>
  </si>
  <si>
    <t xml:space="preserve"> Storage</t>
  </si>
  <si>
    <t xml:space="preserve"> Recommissioning</t>
  </si>
  <si>
    <t xml:space="preserve"> Disposal</t>
  </si>
  <si>
    <t xml:space="preserve"> Operation</t>
  </si>
  <si>
    <t xml:space="preserve"> "Reset fault" operating control</t>
  </si>
  <si>
    <t xml:space="preserve"> Machine lamp</t>
  </si>
  <si>
    <t xml:space="preserve"> Flasher lamp</t>
  </si>
  <si>
    <t xml:space="preserve"> Horn</t>
  </si>
  <si>
    <t xml:space="preserve"> Preparing for operation</t>
  </si>
  <si>
    <t xml:space="preserve"> Production</t>
  </si>
  <si>
    <t xml:space="preserve"> Preparation</t>
  </si>
  <si>
    <t xml:space="preserve"> Starting</t>
  </si>
  <si>
    <t xml:space="preserve"> Monitoring</t>
  </si>
  <si>
    <t xml:space="preserve"> Stopping</t>
  </si>
  <si>
    <t xml:space="preserve"> Resuming production</t>
  </si>
  <si>
    <t xml:space="preserve"> Ending operation</t>
  </si>
  <si>
    <t xml:space="preserve"> Cleaning</t>
  </si>
  <si>
    <t xml:space="preserve"> Prerequisites for cleaning</t>
  </si>
  <si>
    <t xml:space="preserve"> Preparing for cleaning</t>
  </si>
  <si>
    <t xml:space="preserve"> Execution</t>
  </si>
  <si>
    <t xml:space="preserve"> Taking the machine out of operation</t>
  </si>
  <si>
    <t xml:space="preserve"> Servicing</t>
  </si>
  <si>
    <t xml:space="preserve"> Adhering to regulations</t>
  </si>
  <si>
    <t xml:space="preserve"> Disconnecting and securing</t>
  </si>
  <si>
    <t xml:space="preserve"> Maintenance</t>
  </si>
  <si>
    <t xml:space="preserve"> Notes on maintenance</t>
  </si>
  <si>
    <t xml:space="preserve"> Maintenance schedule</t>
  </si>
  <si>
    <t xml:space="preserve"> Detailed description of maintenance activities</t>
  </si>
  <si>
    <t xml:space="preserve"> Lubrication schedule</t>
  </si>
  <si>
    <t xml:space="preserve"> Faults</t>
  </si>
  <si>
    <t xml:space="preserve"> Rectifying faults</t>
  </si>
  <si>
    <t xml:space="preserve"> Teleservice operating mode</t>
  </si>
  <si>
    <t xml:space="preserve"> Technical data</t>
  </si>
  <si>
    <t xml:space="preserve"> Media requirements</t>
  </si>
  <si>
    <t xml:space="preserve"> Electrical energy</t>
  </si>
  <si>
    <t xml:space="preserve"> Noise emissions</t>
  </si>
  <si>
    <t xml:space="preserve"> Types</t>
  </si>
  <si>
    <t xml:space="preserve"> Lubricants</t>
  </si>
  <si>
    <t xml:space="preserve"> Labelling of lubrication points</t>
  </si>
  <si>
    <t xml:space="preserve"> Labeling of equipment for disconnecting and securing</t>
  </si>
  <si>
    <t xml:space="preserve"> Detergent</t>
  </si>
  <si>
    <t xml:space="preserve"> Certificates</t>
  </si>
  <si>
    <t xml:space="preserve"> EC declaration of conformity</t>
  </si>
  <si>
    <t xml:space="preserve"> Appendix</t>
  </si>
  <si>
    <t>\\uac.xorb.net\vdfs\Anwendungen\Dokumentation\Kundenprojekte\Dortmund\89407xxx\894076xx\89407690_Kiew Region\BA_Betriebsanleitungen\BA_89407690_002800__Innoline GTR_EN_01.pdf</t>
  </si>
  <si>
    <t xml:space="preserve"> Circuit breakers for the drives</t>
  </si>
  <si>
    <t xml:space="preserve"> Drive sprocket guard covers</t>
  </si>
  <si>
    <t>\\uac.xorb.net\vdfs\Anwendungen\Dokumentation\Kundenprojekte\Dortmund\89407xxx\894074xx\89407488_Chicago\BA_Betriebsanleitungen\BA_89407488_005400__Innoline Stetigförderersystem GTR_EN_01.pdf</t>
  </si>
  <si>
    <t xml:space="preserve"> Safety information</t>
  </si>
  <si>
    <t xml:space="preserve"> Operating control for remote access via the Remote Diagnostic Service (ReDiS)</t>
  </si>
  <si>
    <t xml:space="preserve"> Continuing production</t>
  </si>
  <si>
    <t xml:space="preserve"> Ending production</t>
  </si>
  <si>
    <t xml:space="preserve"> Thresholds for surface cleaning</t>
  </si>
  <si>
    <t>\\uac.xorb.net\vdfs\Anwendungen\Dokumentation\Kundenprojekte\Dortmund\89407xxx\894073xx\89407313_Wilson\BA_Betriebsanleitungen\BA_89407313_000700__Innoline Stetigförderersystem GTR_EN_02.pdf</t>
  </si>
  <si>
    <t xml:space="preserve"> Target group</t>
  </si>
  <si>
    <t xml:space="preserve"> Customer service</t>
  </si>
  <si>
    <t xml:space="preserve"> Notes on reading the manual </t>
  </si>
  <si>
    <t xml:space="preserve"> Prohibitory signs</t>
  </si>
  <si>
    <t xml:space="preserve"> Mandatory action signs</t>
  </si>
  <si>
    <t xml:space="preserve"> Circuit breakers of the drive units</t>
  </si>
  <si>
    <t xml:space="preserve"> Safety guard on drive chain sprockets</t>
  </si>
  <si>
    <t xml:space="preserve"> Deenergised machine</t>
  </si>
  <si>
    <t xml:space="preserve"> Conveyor control system</t>
  </si>
  <si>
    <t xml:space="preserve"> Operator console 01</t>
  </si>
  <si>
    <t xml:space="preserve"> Signalling equipment</t>
  </si>
  <si>
    <t xml:space="preserve"> Switch cabinet with main switch</t>
  </si>
  <si>
    <t xml:space="preserve"> Checking the scope of delivery and inspecting the shipment</t>
  </si>
  <si>
    <t xml:space="preserve"> Connecting</t>
  </si>
  <si>
    <t xml:space="preserve"> Operating control "Start/stop"</t>
  </si>
  <si>
    <t xml:space="preserve"> Operating control "Acknowledge fault"</t>
  </si>
  <si>
    <t xml:space="preserve"> Start</t>
  </si>
  <si>
    <t xml:space="preserve"> Continuing operation</t>
  </si>
  <si>
    <t xml:space="preserve"> Cleaning requirements</t>
  </si>
  <si>
    <t xml:space="preserve"> Cancelling operational readiness</t>
  </si>
  <si>
    <t xml:space="preserve"> Adhering to the regulations</t>
  </si>
  <si>
    <t xml:space="preserve"> Notes on maintenance practices</t>
  </si>
  <si>
    <t xml:space="preserve"> Water in general</t>
  </si>
  <si>
    <t xml:space="preserve"> Electrical power</t>
  </si>
  <si>
    <t xml:space="preserve"> Labelling of equipment for disconnecting and securing</t>
  </si>
  <si>
    <t>\\uac.xorb.net\vdfs\Anwendungen\Dokumentation\Kundenprojekte\Dortmund\89407xxx\894071xx\89407168_London\BA_Betriebsanleitungen\BA_89407168_003100__Innoline GTR_EN_01.pdf</t>
  </si>
  <si>
    <t>1 Información general............................................................................................................ 7</t>
  </si>
  <si>
    <t>1.1 Grupo de destino......................................................................................................... 7</t>
  </si>
  <si>
    <t>1.2 Indicaciones sobre la documentación técnica............................................................. 7</t>
  </si>
  <si>
    <t>1.3 Asignación de la máquina............................................................................................ 8</t>
  </si>
  <si>
    <t xml:space="preserve"> Información general</t>
  </si>
  <si>
    <t xml:space="preserve"> Grupo de destino</t>
  </si>
  <si>
    <t xml:space="preserve"> Indicaciones sobre la documentación técnica</t>
  </si>
  <si>
    <t xml:space="preserve"> Asignación de la máquina</t>
  </si>
  <si>
    <t xml:space="preserve"> Componentes integrados o suministrados adicionalmente</t>
  </si>
  <si>
    <t xml:space="preserve"> Servicio de atención al cliente</t>
  </si>
  <si>
    <t xml:space="preserve"> Protección de la propiedad intelectual</t>
  </si>
  <si>
    <t xml:space="preserve"> Indicaciones para la lectura </t>
  </si>
  <si>
    <t xml:space="preserve"> Seguridad</t>
  </si>
  <si>
    <t xml:space="preserve"> Función de las indicaciones de seguridad</t>
  </si>
  <si>
    <t xml:space="preserve"> Uso conforme a lo previsto</t>
  </si>
  <si>
    <t xml:space="preserve"> Mal uso razonablemente previsible</t>
  </si>
  <si>
    <t xml:space="preserve"> Obligaciones del explotador</t>
  </si>
  <si>
    <t xml:space="preserve"> Requerimientos respecto del personal</t>
  </si>
  <si>
    <t xml:space="preserve"> Equipo de protección</t>
  </si>
  <si>
    <t xml:space="preserve"> Áreas de peligro y su señalización</t>
  </si>
  <si>
    <t xml:space="preserve"> Símbolos de advertencia</t>
  </si>
  <si>
    <t xml:space="preserve"> Símbolos de obligación</t>
  </si>
  <si>
    <t xml:space="preserve"> Dispositivos de protección</t>
  </si>
  <si>
    <t xml:space="preserve"> Interruptor de parada de emergencia</t>
  </si>
  <si>
    <t xml:space="preserve"> Seccionadores de los accionamientos</t>
  </si>
  <si>
    <t xml:space="preserve"> Protección contra intervención</t>
  </si>
  <si>
    <t xml:space="preserve"> Chapas protectoras</t>
  </si>
  <si>
    <t xml:space="preserve"> Dispositivos para separar de las fuentes de energía y asegurar</t>
  </si>
  <si>
    <t xml:space="preserve"> Comportamiento en caso de situaciones de peligro y accidentes</t>
  </si>
  <si>
    <t xml:space="preserve"> Estados operativos y modos operativos</t>
  </si>
  <si>
    <t xml:space="preserve"> Máquina desconectada de las fuentes de energía</t>
  </si>
  <si>
    <t xml:space="preserve"> Estado operativo DESC</t>
  </si>
  <si>
    <t xml:space="preserve"> Estado operativo CON</t>
  </si>
  <si>
    <t xml:space="preserve"> Peligros residuales</t>
  </si>
  <si>
    <t xml:space="preserve"> Estructura y función</t>
  </si>
  <si>
    <t xml:space="preserve"> Sistema transportador continuo</t>
  </si>
  <si>
    <t xml:space="preserve"> Control del transporte</t>
  </si>
  <si>
    <t xml:space="preserve"> Baranda</t>
  </si>
  <si>
    <t xml:space="preserve"> Lugares de trabajo</t>
  </si>
  <si>
    <t xml:space="preserve"> Dispositivos de mando</t>
  </si>
  <si>
    <t xml:space="preserve"> Panel de mando</t>
  </si>
  <si>
    <t xml:space="preserve"> Interfaz de operación gráfica</t>
  </si>
  <si>
    <t xml:space="preserve"> Acceso remoto Remote Diagnostic Service (ReDiS)</t>
  </si>
  <si>
    <t xml:space="preserve"> Montaje</t>
  </si>
  <si>
    <t xml:space="preserve"> Indicaciones de seguridad</t>
  </si>
  <si>
    <t xml:space="preserve"> Verificación del volumen de suministro y realización de la inspección del transporte</t>
  </si>
  <si>
    <t xml:space="preserve"> Instalación</t>
  </si>
  <si>
    <t xml:space="preserve"> Conexión</t>
  </si>
  <si>
    <t xml:space="preserve"> Puesta en servicio</t>
  </si>
  <si>
    <t xml:space="preserve"> Puesta fuera de servicio</t>
  </si>
  <si>
    <t xml:space="preserve"> Almacenamiento</t>
  </si>
  <si>
    <t xml:space="preserve"> Restablecimiento del servicio</t>
  </si>
  <si>
    <t xml:space="preserve"> Eliminación de desechos</t>
  </si>
  <si>
    <t xml:space="preserve"> Funcionamiento</t>
  </si>
  <si>
    <t xml:space="preserve"> Interruptor de llave del acceso remoto Remote Diagnostic Service [ReDiS]</t>
  </si>
  <si>
    <t xml:space="preserve"> Elemento de mando "Confirmar falla"</t>
  </si>
  <si>
    <t xml:space="preserve"> Luz omnidireccional</t>
  </si>
  <si>
    <t xml:space="preserve"> Bocina</t>
  </si>
  <si>
    <t xml:space="preserve"> Establecer la disposición de servicio</t>
  </si>
  <si>
    <t xml:space="preserve"> Producción</t>
  </si>
  <si>
    <t xml:space="preserve"> Supervisar</t>
  </si>
  <si>
    <t xml:space="preserve"> Finalizar</t>
  </si>
  <si>
    <t xml:space="preserve"> Limpieza</t>
  </si>
  <si>
    <t xml:space="preserve"> Condiciones previas para la limpieza</t>
  </si>
  <si>
    <t xml:space="preserve"> Preparar limpieza</t>
  </si>
  <si>
    <t xml:space="preserve"> Realizar la limpieza</t>
  </si>
  <si>
    <t xml:space="preserve"> Ejecutar</t>
  </si>
  <si>
    <t xml:space="preserve"> Suprimir la disposición de servicio</t>
  </si>
  <si>
    <t xml:space="preserve"> Mantenimiento y reparación</t>
  </si>
  <si>
    <t xml:space="preserve"> Observar las prescripciones</t>
  </si>
  <si>
    <t xml:space="preserve"> Separar de las fuentes de energía y asegurar</t>
  </si>
  <si>
    <t xml:space="preserve"> Mantenimiento</t>
  </si>
  <si>
    <t xml:space="preserve"> Indicaciones de mantenimiento</t>
  </si>
  <si>
    <t xml:space="preserve"> Plan de mantenimiento</t>
  </si>
  <si>
    <t xml:space="preserve"> Descripción detallada de las tareas de mantenimiento</t>
  </si>
  <si>
    <t xml:space="preserve"> Esquema de lubricación</t>
  </si>
  <si>
    <t xml:space="preserve"> Fallas</t>
  </si>
  <si>
    <t xml:space="preserve"> Subsanar</t>
  </si>
  <si>
    <t xml:space="preserve"> Datos técnicos</t>
  </si>
  <si>
    <t xml:space="preserve"> Requerimientos respecto de los medios</t>
  </si>
  <si>
    <t xml:space="preserve"> Energía eléctrica</t>
  </si>
  <si>
    <t xml:space="preserve"> Emisiones acústicas</t>
  </si>
  <si>
    <t xml:space="preserve"> Lubricantes</t>
  </si>
  <si>
    <t xml:space="preserve"> Identificación de los puntos de lubricación</t>
  </si>
  <si>
    <t xml:space="preserve"> Identificación de los dispositivos para separar de las fuentes de energía y asegurar</t>
  </si>
  <si>
    <t xml:space="preserve"> Productos de limpieza</t>
  </si>
  <si>
    <t xml:space="preserve"> Apéndice</t>
  </si>
  <si>
    <t>\\uac.xorb.net\vdfs\Anwendungen\Dokumentation\Kundenprojekte\Dortmund\89407xxx\894076xx\89407669_Santiago\BA_Betriebsanleitungen\BA_89407669_000500__Innoline GTR_ES_01.pdf</t>
  </si>
  <si>
    <t>1.4 Servicio de atención al cliente..................................................................................... 9</t>
  </si>
  <si>
    <t>1.5 Protección de la propiedad intelectual......................................................................... 9</t>
  </si>
  <si>
    <t>1.6 Indicaciones para la lectura ........................................................................................ 9</t>
  </si>
  <si>
    <t>2 Seguridad......................................................................................................................... 11</t>
  </si>
  <si>
    <t>2.1 Función de las indicaciones de seguridad................................................................. 11</t>
  </si>
  <si>
    <t>2.2 Utilización conforme al uso previsto.......................................................................... 11</t>
  </si>
  <si>
    <t>2.3 Mal uso razonablemente previsible........................................................................... 12</t>
  </si>
  <si>
    <t>2.4 Obligaciones del explotador...................................................................................... 13</t>
  </si>
  <si>
    <t>2.5 Requerimientos respecto del personal...................................................................... 13</t>
  </si>
  <si>
    <t>2.6 Equipo de protección................................................................................................. 18</t>
  </si>
  <si>
    <t>2.7 Áreas de peligro y su señalización............................................................................ 19</t>
  </si>
  <si>
    <t>2.7.1 Símbolos de advertencia......................................................................................... 19</t>
  </si>
  <si>
    <t>2.7.2 Símbolos de obligación........................................................................................... 19</t>
  </si>
  <si>
    <t>2.8 Dispositivos de protección......................................................................................... 20</t>
  </si>
  <si>
    <t>2.8.1 Interruptor de parada de emergencia...................................................................... 20</t>
  </si>
  <si>
    <t>2.10 Estados operativos y modos operativos.................................................................... 26</t>
  </si>
  <si>
    <t>2.10.3 Estado operativo CON............................................................................................. 27</t>
  </si>
  <si>
    <t>3 Estructura y función.......................................................................................................... 33</t>
  </si>
  <si>
    <t>3.1 Sistema transportador continuo................................................................................. 33</t>
  </si>
  <si>
    <t>3.1.1 Control del transporte.............................................................................................. 33</t>
  </si>
  <si>
    <t xml:space="preserve"> Utilización conforme al uso previsto</t>
  </si>
  <si>
    <t xml:space="preserve"> Dispositivo de mando de acceso remoto Remote Diagnostic Service (ReDiS)</t>
  </si>
  <si>
    <t xml:space="preserve"> Modo operativo Teleservicio</t>
  </si>
  <si>
    <t xml:space="preserve"> Valores límite para la limpieza de superficies</t>
  </si>
  <si>
    <t>\\uac.xorb.net\vdfs\Anwendungen\Dokumentation\Kundenprojekte\Dortmund\89407xxx\894076xx\89407648_Quilmes ; Buenos Aires\BA_Betriebsanleitungen\BA_89407648_001700__Innoline Stetigförderersystem GTR_ES_01.pdf</t>
  </si>
  <si>
    <t>3.2 Lugares de trabajo..................................................................................................... 38</t>
  </si>
  <si>
    <t>3.3 Dispositivos de mando............................................................................................... 38</t>
  </si>
  <si>
    <t xml:space="preserve"> Protección contra intervención en las ruedas de las cadenas de transmisión</t>
  </si>
  <si>
    <t>\\uac.xorb.net\vdfs\Anwendungen\Dokumentation\Kundenprojekte\Dortmund\89407xxx\894074xx\89407474_Santiago\BA_Betriebsanleitungen\BA_89407474_001500__Innoline GTR_ES_01.pdf</t>
  </si>
  <si>
    <t>2.8.2 Seccionadores de los accionamientos.................................................................... 22</t>
  </si>
  <si>
    <t>2.8.3 Chapas protectoras................................................................................................. 24</t>
  </si>
  <si>
    <t>2.8.4 Dispositivos para separar de las fuentes de energía y asegurar............................ 25</t>
  </si>
  <si>
    <t>2.9 Comportamiento en caso de situaciones de peligro y accidentes............................. 26</t>
  </si>
  <si>
    <t>2.10.1 Máquina desconectada de las fuentes de energía.................................................. 27</t>
  </si>
  <si>
    <t>2.10.2 Estado operativo DESC........................................................................................... 27</t>
  </si>
  <si>
    <t>2.11 Peligros residuales..................................................................................................... 28</t>
  </si>
  <si>
    <t>3.1.3 Segmentos.............................................................................................................. 36</t>
  </si>
  <si>
    <t>3.1.4 Baranda................................................................................................................... 37</t>
  </si>
  <si>
    <t>3.4 Acceso remoto Remote Diagnostic Service (ReDiS)................................................. 39</t>
  </si>
  <si>
    <t>3.5 Dispositivos de aviso................................................................................................. 39</t>
  </si>
  <si>
    <t>4 Montaje............................................................................................................................. 41</t>
  </si>
  <si>
    <t>4.1 Indicaciones de seguridad......................................................................................... 41</t>
  </si>
  <si>
    <t>4.3 Transporte.................................................................................................................. 42</t>
  </si>
  <si>
    <t>4.4 Instalación.................................................................................................................. 44</t>
  </si>
  <si>
    <t>4.5 Montar........................................................................................................................ 44</t>
  </si>
  <si>
    <t>4.6 Conexión.................................................................................................................... 45</t>
  </si>
  <si>
    <t>4.7 Puesta en servicio...................................................................................................... 45</t>
  </si>
  <si>
    <t>4.8 Puesta fuera de servicio............................................................................................ 46</t>
  </si>
  <si>
    <t>4.9 Almacenamiento........................................................................................................ 47</t>
  </si>
  <si>
    <t>4.10 Restablecimiento del servicio.................................................................................... 47</t>
  </si>
  <si>
    <t>4.11 Eliminación de desechos........................................................................................... 48</t>
  </si>
  <si>
    <t>5 Funcionamiento................................................................................................................ 51</t>
  </si>
  <si>
    <t>5.1 Indicaciones de seguridad......................................................................................... 51</t>
  </si>
  <si>
    <t>5.2 Dispositivos de protección......................................................................................... 52</t>
  </si>
  <si>
    <t>5.2.1 Interruptor de parada de emergencia...................................................................... 52</t>
  </si>
  <si>
    <t>5.3 Dispositivos de mando............................................................................................... 53</t>
  </si>
  <si>
    <t>5.3.1 Dispositivo de mando de acceso remoto Remote Diagnostic Service (ReDiS)...... 54</t>
  </si>
  <si>
    <t>5.4 Dispositivos de aviso................................................................................................. 54</t>
  </si>
  <si>
    <t>5.5 Establecer la disposición de servicio......................................................................... 54</t>
  </si>
  <si>
    <t>5.6 Producción................................................................................................................. 54</t>
  </si>
  <si>
    <t>5.6.1 Indicaciones de seguridad....................................................................................... 55</t>
  </si>
  <si>
    <t>5.6.2 Preparar................................................................................................................... 58</t>
  </si>
  <si>
    <t>5.6.3 Iniciar....................................................................................................................... 58</t>
  </si>
  <si>
    <t>5.6.4 Supervisión.............................................................................................................. 59</t>
  </si>
  <si>
    <t>5.6.5 Parar........................................................................................................................ 59</t>
  </si>
  <si>
    <t>5.6.6 Continuar................................................................................................................. 60</t>
  </si>
  <si>
    <t>5.6.7 Finalizar................................................................................................................... 60</t>
  </si>
  <si>
    <t>5.7 Limpieza..................................................................................................................... 60</t>
  </si>
  <si>
    <t>5.7.1 Indicaciones de seguridad....................................................................................... 61</t>
  </si>
  <si>
    <t>5.7.2 Condiciones previas para la limpieza...................................................................... 62</t>
  </si>
  <si>
    <t>5.7.3 Preparar limpieza.................................................................................................... 64</t>
  </si>
  <si>
    <t>5.7.4 Realizar la limpieza................................................................................................. 64</t>
  </si>
  <si>
    <t>5.8 Equipar....................................................................................................................... 68</t>
  </si>
  <si>
    <t>5.8.1 Indicaciones de seguridad....................................................................................... 68</t>
  </si>
  <si>
    <t>5.8.2 Preparar................................................................................................................... 70</t>
  </si>
  <si>
    <t>5.8.3 Ejecutar................................................................................................................... 70</t>
  </si>
  <si>
    <t>5.9 Suprimir la disposición de servicio............................................................................. 73</t>
  </si>
  <si>
    <t>6 Mantenimiento y reparación............................................................................................. 75</t>
  </si>
  <si>
    <t>6.1 Indicaciones de seguridad......................................................................................... 75</t>
  </si>
  <si>
    <t>6.2 Observar las prescripciones...................................................................................... 77</t>
  </si>
  <si>
    <t>6.3 Separar de las fuentes de energía y asegurar.......................................................... 77</t>
  </si>
  <si>
    <t>6.4 Mantenimiento........................................................................................................... 81</t>
  </si>
  <si>
    <t>6.4.1 Indicaciones de seguridad....................................................................................... 81</t>
  </si>
  <si>
    <t>6.4.2 Indicaciones de mantenimiento............................................................................... 82</t>
  </si>
  <si>
    <t>6.4.3 Preparar................................................................................................................... 83</t>
  </si>
  <si>
    <t>6.4.4 Plan de mantenimiento............................................................................................ 84</t>
  </si>
  <si>
    <t>6.4.5 Esquema de lubricación.......................................................................................... 88</t>
  </si>
  <si>
    <t>7 Fallas................................................................................................................................ 93</t>
  </si>
  <si>
    <t>7.1 Indicaciones de seguridad......................................................................................... 93</t>
  </si>
  <si>
    <t>7.2 Subsanar.................................................................................................................... 94</t>
  </si>
  <si>
    <t>7.3 Modo operativo Teleservicio...................................................................................... 97</t>
  </si>
  <si>
    <t>8 Datos técnicos.................................................................................................................. 99</t>
  </si>
  <si>
    <t>8.1 Requerimientos respecto de los medios.................................................................... 99</t>
  </si>
  <si>
    <t>8.1.1 Energía eléctrica...................................................................................................... 99</t>
  </si>
  <si>
    <t>8.2 Funcionamiento....................................................................................................... 100</t>
  </si>
  <si>
    <t>8.2.1 Emisiones acústicas.............................................................................................. 100</t>
  </si>
  <si>
    <t>8.2.2 Tipos...................................................................................................................... 102</t>
  </si>
  <si>
    <t>8.3 Mantenimiento y reparación.................................................................................... 102</t>
  </si>
  <si>
    <t>8.3.1 Sustancias lubricantes........................................................................................... 102</t>
  </si>
  <si>
    <t>8.3.2 Identificación de los puntos de lubricación............................................................ 102</t>
  </si>
  <si>
    <t>8.3.4 Valores límite para la limpieza de superficies....................................................... 104</t>
  </si>
  <si>
    <t>9 Apéndice........................................................................................................................ 105</t>
  </si>
  <si>
    <t>4.2 Verificación del volumen de suministro y realización de la inspección del transporte........ 41</t>
  </si>
  <si>
    <t>8.3.3 Identificación de los dispositivos para separar de las fuentes de energía y asegurar..................... 104</t>
  </si>
  <si>
    <t xml:space="preserve"> Supervisión</t>
  </si>
  <si>
    <t xml:space="preserve"> Sustancias lubricantes</t>
  </si>
  <si>
    <t>\\uac.xorb.net\vdfs\Anwendungen\Dokumentation\Kundenprojekte\Dortmund\89407xxx\894073xx\89407322_Panama\BA_Betriebsanleitungen\BA_89407322_000400__Innoline Stetigförderersystem GTR_ES_01.pdf</t>
  </si>
  <si>
    <t>\\uac.xorb.net\vdfs\Anwendungen\Dokumentation\Kundenprojekte\Dortmund\89407xxx\894077xx\89407712_Ponta Grossa\BA_Betriebsanleitungen\BA_89407712_002300__Innoline Stetigförderersystem GTR_PT_01.pdf</t>
  </si>
  <si>
    <t>\\uac.xorb.net\vdfs\Anwendungen\Dokumentation\Kundenprojekte\Dortmund\89407xxx\894077xx\89407703_Ponta Grossa\BA_Betriebsanleitungen\BA_89407703_000700__Innoline Stetigförderersystem GTR_PT_01.pdf</t>
  </si>
  <si>
    <t>\\uac.xorb.net\vdfs\Anwendungen\Dokumentation\Kundenprojekte\Dortmund\89407xxx\894075xx\89407568_Paranavai\BA_Betriebsanleitungen\BA_89407568_001600__Innoline Stetigförderersystem GTR_PT_01.pdf</t>
  </si>
  <si>
    <t>\\uac.xorb.net\vdfs\Anwendungen\Dokumentation\Kundenprojekte\Dortmund\89407xxx\894071xx\89407120_Caçapava\BA_Betriebsanleitungen\BA_89407120_003900__Innoline Stetigförderersystem GTR_PT_01.pdf</t>
  </si>
  <si>
    <t>\\uac.xorb.net\vdfs\Anwendungen\Dokumentation\Kundenprojekte\Dortmund\89407xxx\894070xx\89407064_MAPUTO - MOCAMBIQUE\BA_Betriebsanleitungen\BA_89407064_006700__Innoline Stetigförderersystem GTR_PT_01.pdf</t>
  </si>
  <si>
    <t>\\uac.xorb.net\vdfs\Anwendungen\Dokumentation\Kundenprojekte\Dortmund\89406xxx\894069xx\89406903_Vialonga\BA_Betriebsanleitungen\BA_89406903_001800__Innoline Stetigförderersystem GTR_PT_01.pdf</t>
  </si>
  <si>
    <t>\\uac.xorb.net\vdfs\Anwendungen\Dokumentation\Kundenprojekte\Dortmund\89406xxx\894066xx\89406693_Alagoinhas\BA_Betriebsanleitungen\BA_89406693_002400__Innoline Stetigförderersystem GTR_PT_01.pdf</t>
  </si>
  <si>
    <t>\\uac.xorb.net\vdfs\Anwendungen\Dokumentation\Kundenprojekte\Dortmund\89406xxx\894066xx\89406691_Teresópolis\BA_Betriebsanleitungen\BA_89406691_002400__Innoline Stetigförderersystem GTR_PT_01.pdf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</si>
</sst>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9" fontId="3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Fill="1"/>
    <xf numFmtId="0" fontId="0" fillId="2" borderId="0" xfId="0" applyFill="1"/>
    <xf numFmtId="0" fontId="4" fillId="0" borderId="0" xfId="0" applyFont="1" applyAlignment="1"/>
    <xf numFmtId="0" fontId="1" fillId="0" borderId="1" xfId="0" applyFont="1" applyBorder="1"/>
    <xf numFmtId="0" fontId="5" fillId="0" borderId="0" xfId="0" applyFont="1" applyAlignment="1">
      <alignment horizontal="center" wrapText="1"/>
    </xf>
    <xf numFmtId="9" fontId="6" fillId="0" borderId="0" xfId="1" applyFont="1" applyAlignment="1">
      <alignment horizontal="center" vertical="center"/>
    </xf>
    <xf numFmtId="0" fontId="7" fillId="0" borderId="0" xfId="0" applyFont="1" applyFill="1" applyAlignment="1">
      <alignment vertical="center"/>
    </xf>
    <xf numFmtId="49" fontId="0" fillId="0" borderId="0" xfId="0" applyNumberFormat="1"/>
    <xf numFmtId="0" fontId="0" fillId="3" borderId="0" xfId="0" applyFill="1"/>
    <xf numFmtId="0" fontId="9" fillId="0" borderId="0" xfId="3" applyFont="1"/>
    <xf numFmtId="0" fontId="8" fillId="0" borderId="0" xfId="3"/>
    <xf numFmtId="0" fontId="4" fillId="0" borderId="0" xfId="0" applyFont="1" applyFill="1" applyAlignment="1"/>
    <xf numFmtId="0" fontId="8" fillId="0" borderId="1" xfId="3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4" borderId="0" xfId="0" applyFont="1" applyFill="1" applyAlignment="1">
      <alignment vertical="center"/>
    </xf>
    <xf numFmtId="0" fontId="0" fillId="4" borderId="0" xfId="0" applyFill="1"/>
    <xf numFmtId="0" fontId="8" fillId="0" borderId="0" xfId="3" applyBorder="1"/>
    <xf numFmtId="0" fontId="1" fillId="0" borderId="0" xfId="0" applyFont="1" applyBorder="1"/>
    <xf numFmtId="0" fontId="8" fillId="0" borderId="0" xfId="3" applyAlignment="1">
      <alignment horizontal="center" wrapText="1"/>
    </xf>
  </cellXfs>
  <cellStyles count="4">
    <cellStyle name="Hiperlink" xfId="3" builtinId="8"/>
    <cellStyle name="Normal" xfId="0" builtinId="0"/>
    <cellStyle name="Porcentagem" xfId="1" builtinId="5"/>
    <cellStyle name="Standard_Tabelle1" xfId="2" xr:uid="{0BEA0DBF-7A9F-4BF9-9113-2DF8CCFBEFE3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..\..\..\..\..\Anwendungen\Dokumentation\Kundenprojekte\Dortmund\89407xxx\894076xx\89407690_Kiew%20Region\BA_Betriebsanleitungen\BA_89407690_002800__Innoline%20GTR_EN_01.pdf" TargetMode="External"/><Relationship Id="rId13" Type="http://schemas.openxmlformats.org/officeDocument/2006/relationships/hyperlink" Target="../../../../../../Anwendungen/Dokumentation/Kundenprojekte/Dortmund/89407xxx/894074xx/89407488_Chicago/BA_Betriebsanleitungen/BA_89407488_005400__Innoline%20Stetigf&#246;rderersystem%20GTR_EN_01.pdf" TargetMode="External"/><Relationship Id="rId3" Type="http://schemas.openxmlformats.org/officeDocument/2006/relationships/hyperlink" Target="../../../../../Anwendungen/Dokumentation/Kundenprojekte/Dortmund/89407xxx/894071xx/89407168_London/BA_Betriebsanleitungen/BA_89407168_003100__Innoline%20GTR_EN_01.pdf" TargetMode="External"/><Relationship Id="rId7" Type="http://schemas.openxmlformats.org/officeDocument/2006/relationships/hyperlink" Target="..\..\..\..\..\..\Anwendungen\Dokumentation\Kundenprojekte\Dortmund\89407xxx\894077xx\89407712_Ponta%20Grossa\BA_Betriebsanleitungen\BA_89407712_002300__Innoline%20Stetigf&#246;rderersystem%20GTR_PT_01.pdf" TargetMode="External"/><Relationship Id="rId12" Type="http://schemas.openxmlformats.org/officeDocument/2006/relationships/hyperlink" Target="../../../../../../Anwendungen/Dokumentation/Kundenprojekte/Dortmund/89407xxx/894073xx/89407313_Wilson/BA_Betriebsanleitungen/BA_89407313_000700__Innoline%20Stetigf&#246;rderersystem%20GTR_EN_02.pdf" TargetMode="External"/><Relationship Id="rId2" Type="http://schemas.openxmlformats.org/officeDocument/2006/relationships/hyperlink" Target="..\..\..\..\..\..\Anwendungen\Dokumentation\Kundenprojekte\Dortmund\89407xxx\894075xx\89407568_Paranavai\BA_Betriebsanleitungen\BA_89407568_001600__Innoline%20Stetigf&#246;rderersystem%20GTR_PT_01.pdf" TargetMode="External"/><Relationship Id="rId1" Type="http://schemas.openxmlformats.org/officeDocument/2006/relationships/hyperlink" Target="..\..\..\..\..\..\Anwendungen\Dokumentation\Kundenprojekte\Dortmund\89407xxx\894071xx\89407120_Ca&#231;apava\BA_Betriebsanleitungen\BA_89407120_003900__Innoline%20Stetigf&#246;rderersystem%20GTR_PT_01.pdf" TargetMode="External"/><Relationship Id="rId6" Type="http://schemas.openxmlformats.org/officeDocument/2006/relationships/hyperlink" Target="../../../../../../Anwendungen/Dokumentation/Kundenprojekte/Dortmund/89407xxx/894077xx/89407703_Ponta%20Grossa/BA_Betriebsanleitungen/BA_89407703_000700__Innoline%20Stetigf&#246;rderersystem%20GTR_PT_01.pdf" TargetMode="External"/><Relationship Id="rId11" Type="http://schemas.openxmlformats.org/officeDocument/2006/relationships/hyperlink" Target="../../../../../../Anwendungen/Dokumentation/Kundenprojekte/Dortmund/89406xxx/894066xx/89406691_Teres&#243;polis/BA_Betriebsanleitungen/BA_89406691_002400__Innoline%20Stetigf&#246;rderersystem%20GTR_PT_01.pdf" TargetMode="External"/><Relationship Id="rId5" Type="http://schemas.openxmlformats.org/officeDocument/2006/relationships/hyperlink" Target="..\..\..\..\..\Anwendungen\Dokumentation\Kundenprojekte\Dortmund\89406xxx\894069xx\89406903_Vialonga\BA_Betriebsanleitungen\BA_89406903_001800__Innoline%20Stetigf&#246;rderersystem%20GTR_PT_01.pdf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../../../../../../Anwendungen/Dokumentation/Kundenprojekte/Dortmund/89406xxx/894066xx/89406693_Alagoinhas/BA_Betriebsanleitungen/BA_89406693_002400__Innoline%20Stetigf&#246;rderersystem%20GTR_PT_01.pdf" TargetMode="External"/><Relationship Id="rId4" Type="http://schemas.openxmlformats.org/officeDocument/2006/relationships/hyperlink" Target="..\..\..\..\..\..\Anwendungen\Dokumentation\Kundenprojekte\Dortmund\89407xxx\894076xx\89407669_Santiago\BA_Betriebsanleitungen\BA_89407669_000500__Innoline%20GTR_ES_01.pdf" TargetMode="External"/><Relationship Id="rId9" Type="http://schemas.openxmlformats.org/officeDocument/2006/relationships/hyperlink" Target="../../../../../../Anwendungen/Dokumentation/Kundenprojekte/Dortmund/89407xxx/894073xx/89407322_Panama/BA_Betriebsanleitungen/BA_89407322_000400__Innoline%20Stetigf&#246;rderersystem%20GTR_ES_01.pdf" TargetMode="External"/><Relationship Id="rId14" Type="http://schemas.openxmlformats.org/officeDocument/2006/relationships/hyperlink" Target="..\..\..\..\..\Anwendungen\Dokumentation\Kundenprojekte\Dortmund\89407xxx\894070xx\89407064_MAPUTO%20-%20MOCAMBIQUE\BA_Betriebsanleitungen\BA_89407064_006700__Innoline%20Stetigf&#246;rderersystem%20GTR_PT_0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E3C4-4E91-468F-B50A-43B981FAA79E}">
  <dimension ref="A1:AK287"/>
  <sheetViews>
    <sheetView tabSelected="1" zoomScale="70" zoomScaleNormal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2" sqref="B2"/>
    </sheetView>
  </sheetViews>
  <sheetFormatPr defaultRowHeight="15" x14ac:dyDescent="0.25"/>
  <cols>
    <col min="1" max="1" width="18.85546875" style="3" customWidth="1"/>
    <col min="2" max="2" width="61.5703125" style="3" customWidth="1"/>
    <col min="3" max="35" width="45.85546875" customWidth="1"/>
  </cols>
  <sheetData>
    <row r="1" spans="1:36" x14ac:dyDescent="0.25">
      <c r="C1">
        <f t="shared" ref="C1:AA1" si="0">COUNTA(C6:C280)</f>
        <v>100</v>
      </c>
      <c r="D1">
        <f t="shared" si="0"/>
        <v>117</v>
      </c>
      <c r="E1">
        <f t="shared" si="0"/>
        <v>112</v>
      </c>
      <c r="F1">
        <f t="shared" si="0"/>
        <v>95</v>
      </c>
      <c r="G1">
        <f t="shared" si="0"/>
        <v>100</v>
      </c>
      <c r="H1">
        <f t="shared" si="0"/>
        <v>114</v>
      </c>
      <c r="I1">
        <f t="shared" si="0"/>
        <v>110</v>
      </c>
      <c r="J1">
        <f t="shared" si="0"/>
        <v>111</v>
      </c>
      <c r="K1">
        <f t="shared" si="0"/>
        <v>114</v>
      </c>
      <c r="L1">
        <f t="shared" si="0"/>
        <v>98</v>
      </c>
      <c r="M1">
        <f t="shared" si="0"/>
        <v>104</v>
      </c>
      <c r="N1">
        <f t="shared" si="0"/>
        <v>114</v>
      </c>
      <c r="O1">
        <f t="shared" si="0"/>
        <v>110</v>
      </c>
      <c r="P1">
        <f t="shared" si="0"/>
        <v>103</v>
      </c>
      <c r="Q1">
        <f t="shared" si="0"/>
        <v>101</v>
      </c>
      <c r="R1">
        <f t="shared" si="0"/>
        <v>102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si="0"/>
        <v>0</v>
      </c>
      <c r="X1">
        <f t="shared" si="0"/>
        <v>0</v>
      </c>
      <c r="Y1">
        <f t="shared" si="0"/>
        <v>0</v>
      </c>
      <c r="Z1">
        <f t="shared" si="0"/>
        <v>0</v>
      </c>
      <c r="AA1">
        <f t="shared" si="0"/>
        <v>0</v>
      </c>
      <c r="AB1">
        <f>COUNTA(AB6:AB212)</f>
        <v>0</v>
      </c>
      <c r="AC1">
        <f>COUNTA(AC6:AC196)</f>
        <v>0</v>
      </c>
      <c r="AD1">
        <f t="shared" ref="AD1:AI1" si="1">COUNTA(AD6:AD195)</f>
        <v>0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</row>
    <row r="2" spans="1:36" ht="21" x14ac:dyDescent="0.35">
      <c r="A2" s="15" t="s">
        <v>375</v>
      </c>
      <c r="B2" s="2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6" ht="23.25" x14ac:dyDescent="0.35">
      <c r="A3" s="15"/>
      <c r="B3" s="5"/>
      <c r="C3">
        <v>89407712</v>
      </c>
      <c r="D3">
        <v>89407703</v>
      </c>
      <c r="E3">
        <v>89407568</v>
      </c>
      <c r="F3">
        <v>89407120</v>
      </c>
      <c r="G3">
        <v>89407064</v>
      </c>
      <c r="H3">
        <v>89406903</v>
      </c>
      <c r="I3">
        <v>89406693</v>
      </c>
      <c r="J3">
        <v>89406691</v>
      </c>
      <c r="K3">
        <v>89407690</v>
      </c>
      <c r="L3">
        <v>89407488</v>
      </c>
      <c r="M3">
        <v>89407313</v>
      </c>
      <c r="N3">
        <v>89407168</v>
      </c>
      <c r="O3">
        <v>89407669</v>
      </c>
      <c r="P3">
        <v>89407648</v>
      </c>
      <c r="Q3">
        <v>89407474</v>
      </c>
      <c r="R3">
        <v>89407322</v>
      </c>
    </row>
    <row r="4" spans="1:36" ht="23.25" x14ac:dyDescent="0.35">
      <c r="A4" s="15"/>
      <c r="B4" s="5"/>
      <c r="C4" s="13" t="s">
        <v>1347</v>
      </c>
      <c r="D4" s="13" t="s">
        <v>1348</v>
      </c>
      <c r="E4" s="13" t="s">
        <v>1349</v>
      </c>
      <c r="F4" s="13" t="s">
        <v>1350</v>
      </c>
      <c r="G4" s="13" t="s">
        <v>1351</v>
      </c>
      <c r="H4" s="13" t="s">
        <v>1352</v>
      </c>
      <c r="I4" s="13" t="s">
        <v>1353</v>
      </c>
      <c r="J4" s="13" t="s">
        <v>1354</v>
      </c>
      <c r="K4" s="11" t="s">
        <v>1116</v>
      </c>
      <c r="L4" s="11" t="s">
        <v>1119</v>
      </c>
      <c r="M4" s="11" t="s">
        <v>1125</v>
      </c>
      <c r="N4" s="11" t="s">
        <v>1151</v>
      </c>
      <c r="O4" s="11" t="s">
        <v>1239</v>
      </c>
      <c r="P4" t="s">
        <v>1264</v>
      </c>
      <c r="Q4" t="s">
        <v>1268</v>
      </c>
      <c r="R4" s="11" t="s">
        <v>1346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6" ht="18" customHeight="1" x14ac:dyDescent="0.35">
      <c r="A5" s="14"/>
      <c r="B5" s="14"/>
      <c r="C5" s="18"/>
      <c r="D5" s="18"/>
      <c r="E5" s="18"/>
      <c r="F5" s="18"/>
      <c r="G5" s="18"/>
      <c r="H5" s="18"/>
      <c r="I5" s="18"/>
      <c r="J5" s="18"/>
      <c r="K5" s="11"/>
      <c r="L5" s="11"/>
      <c r="M5" s="11"/>
      <c r="N5" s="11"/>
      <c r="O5" s="11"/>
      <c r="R5" s="11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spans="1:36" ht="15" customHeight="1" x14ac:dyDescent="0.25">
      <c r="A6" s="6">
        <f>(1-COUNTBLANK(C6:R6)/COLUMNS(C6:R6))</f>
        <v>1</v>
      </c>
      <c r="B6" s="16" t="str">
        <f t="array" aca="1" ref="B6" ca="1">OFFSET(C6,,MATCH(TRUE,C6:AI6&lt;&gt;"",0)-1)</f>
        <v xml:space="preserve"> Informações gerais</v>
      </c>
      <c r="C6" s="17" t="s">
        <v>807</v>
      </c>
      <c r="D6" s="17" t="s">
        <v>807</v>
      </c>
      <c r="E6" s="17" t="s">
        <v>807</v>
      </c>
      <c r="F6" s="17" t="s">
        <v>807</v>
      </c>
      <c r="G6" s="17" t="s">
        <v>807</v>
      </c>
      <c r="H6" s="17" t="s">
        <v>807</v>
      </c>
      <c r="I6" s="17" t="s">
        <v>807</v>
      </c>
      <c r="J6" s="17" t="s">
        <v>807</v>
      </c>
      <c r="K6" s="17" t="s">
        <v>1020</v>
      </c>
      <c r="L6" s="17" t="s">
        <v>1020</v>
      </c>
      <c r="M6" s="17" t="s">
        <v>1020</v>
      </c>
      <c r="N6" s="17" t="s">
        <v>1020</v>
      </c>
      <c r="O6" s="17" t="s">
        <v>1156</v>
      </c>
      <c r="P6" s="17" t="s">
        <v>1156</v>
      </c>
      <c r="Q6" s="17" t="s">
        <v>1156</v>
      </c>
      <c r="R6" s="17" t="s">
        <v>1156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8.75" x14ac:dyDescent="0.25">
      <c r="A7" s="6">
        <f t="shared" ref="A7:A70" si="2">(1-COUNTBLANK(C7:R7)/COLUMNS(C7:R7))</f>
        <v>1</v>
      </c>
      <c r="B7" s="7" t="str">
        <f t="array" aca="1" ref="B7" ca="1">OFFSET(C7,,MATCH(TRUE,C7:AI7&lt;&gt;"",0)-1)</f>
        <v xml:space="preserve"> Grupo-alvo</v>
      </c>
      <c r="C7" s="1" t="s">
        <v>808</v>
      </c>
      <c r="D7" s="1" t="s">
        <v>808</v>
      </c>
      <c r="E7" s="1" t="s">
        <v>808</v>
      </c>
      <c r="F7" s="1" t="s">
        <v>808</v>
      </c>
      <c r="G7" s="1" t="s">
        <v>808</v>
      </c>
      <c r="H7" s="1" t="s">
        <v>808</v>
      </c>
      <c r="I7" s="1" t="s">
        <v>808</v>
      </c>
      <c r="J7" s="1" t="s">
        <v>808</v>
      </c>
      <c r="K7" s="1" t="s">
        <v>1021</v>
      </c>
      <c r="L7" s="1" t="s">
        <v>1021</v>
      </c>
      <c r="M7" s="1" t="s">
        <v>1021</v>
      </c>
      <c r="N7" s="1" t="s">
        <v>1126</v>
      </c>
      <c r="O7" s="1" t="s">
        <v>1157</v>
      </c>
      <c r="P7" s="1" t="s">
        <v>1157</v>
      </c>
      <c r="Q7" s="1" t="s">
        <v>1157</v>
      </c>
      <c r="R7" s="1" t="s">
        <v>1157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8.75" x14ac:dyDescent="0.25">
      <c r="A8" s="6">
        <f t="shared" si="2"/>
        <v>1</v>
      </c>
      <c r="B8" s="7" t="str">
        <f t="array" aca="1" ref="B8" ca="1">OFFSET(C8,,MATCH(TRUE,C8:AI8&lt;&gt;"",0)-1)</f>
        <v xml:space="preserve"> Informações sobre a documentação técnica</v>
      </c>
      <c r="C8" s="1" t="s">
        <v>872</v>
      </c>
      <c r="D8" s="1" t="s">
        <v>872</v>
      </c>
      <c r="E8" s="1" t="s">
        <v>872</v>
      </c>
      <c r="F8" s="1" t="s">
        <v>872</v>
      </c>
      <c r="G8" s="1" t="s">
        <v>809</v>
      </c>
      <c r="H8" s="1" t="s">
        <v>809</v>
      </c>
      <c r="I8" s="1" t="s">
        <v>872</v>
      </c>
      <c r="J8" s="1" t="s">
        <v>872</v>
      </c>
      <c r="K8" s="1" t="s">
        <v>1022</v>
      </c>
      <c r="L8" s="1" t="s">
        <v>1022</v>
      </c>
      <c r="M8" s="1" t="s">
        <v>1022</v>
      </c>
      <c r="N8" s="1" t="s">
        <v>1022</v>
      </c>
      <c r="O8" s="1" t="s">
        <v>1158</v>
      </c>
      <c r="P8" s="1" t="s">
        <v>1158</v>
      </c>
      <c r="Q8" s="1" t="s">
        <v>1158</v>
      </c>
      <c r="R8" s="1" t="s">
        <v>1158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8.75" x14ac:dyDescent="0.25">
      <c r="A9" s="6">
        <f t="shared" si="2"/>
        <v>1</v>
      </c>
      <c r="B9" s="7" t="str">
        <f t="array" aca="1" ref="B9" ca="1">OFFSET(C9,,MATCH(TRUE,C9:AI9&lt;&gt;"",0)-1)</f>
        <v xml:space="preserve"> Atribuição da máquina</v>
      </c>
      <c r="C9" s="1" t="s">
        <v>868</v>
      </c>
      <c r="D9" s="1" t="s">
        <v>868</v>
      </c>
      <c r="E9" s="1" t="s">
        <v>868</v>
      </c>
      <c r="F9" s="1" t="s">
        <v>963</v>
      </c>
      <c r="G9" s="1" t="s">
        <v>868</v>
      </c>
      <c r="H9" s="1" t="s">
        <v>868</v>
      </c>
      <c r="I9" s="1" t="s">
        <v>868</v>
      </c>
      <c r="J9" s="1" t="s">
        <v>963</v>
      </c>
      <c r="K9" s="1" t="s">
        <v>1023</v>
      </c>
      <c r="L9" s="1" t="s">
        <v>1023</v>
      </c>
      <c r="M9" s="1" t="s">
        <v>1023</v>
      </c>
      <c r="N9" s="1" t="s">
        <v>1023</v>
      </c>
      <c r="O9" s="1" t="s">
        <v>1159</v>
      </c>
      <c r="P9" s="1" t="s">
        <v>1159</v>
      </c>
      <c r="Q9" s="1" t="s">
        <v>1159</v>
      </c>
      <c r="R9" s="1" t="s">
        <v>1159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8.75" x14ac:dyDescent="0.25">
      <c r="A10" s="6">
        <f t="shared" si="2"/>
        <v>0.3125</v>
      </c>
      <c r="B10" s="7" t="str">
        <f t="array" aca="1" ref="B10" ca="1">OFFSET(C10,,MATCH(TRUE,C10:AI10&lt;&gt;"",0)-1)</f>
        <v xml:space="preserve"> Componentes e suplementos integrados</v>
      </c>
      <c r="D10" s="1" t="s">
        <v>938</v>
      </c>
      <c r="H10" s="1" t="s">
        <v>987</v>
      </c>
      <c r="K10" s="1" t="s">
        <v>1024</v>
      </c>
      <c r="N10" s="1" t="s">
        <v>1024</v>
      </c>
      <c r="O10" s="1" t="s">
        <v>1160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8.75" x14ac:dyDescent="0.25">
      <c r="A11" s="6">
        <f t="shared" si="2"/>
        <v>1</v>
      </c>
      <c r="B11" s="7" t="str">
        <f t="array" aca="1" ref="B11" ca="1">OFFSET(C11,,MATCH(TRUE,C11:AI11&lt;&gt;"",0)-1)</f>
        <v xml:space="preserve"> Assistência ao cliente</v>
      </c>
      <c r="C11" s="1" t="s">
        <v>810</v>
      </c>
      <c r="D11" s="1" t="s">
        <v>810</v>
      </c>
      <c r="E11" s="1" t="s">
        <v>810</v>
      </c>
      <c r="F11" s="1" t="s">
        <v>810</v>
      </c>
      <c r="G11" s="1" t="s">
        <v>810</v>
      </c>
      <c r="H11" s="1" t="s">
        <v>810</v>
      </c>
      <c r="I11" s="1" t="s">
        <v>810</v>
      </c>
      <c r="J11" s="1" t="s">
        <v>810</v>
      </c>
      <c r="K11" s="1" t="s">
        <v>1025</v>
      </c>
      <c r="L11" s="1" t="s">
        <v>1025</v>
      </c>
      <c r="M11" s="1" t="s">
        <v>1025</v>
      </c>
      <c r="N11" s="1" t="s">
        <v>1127</v>
      </c>
      <c r="O11" s="1" t="s">
        <v>1161</v>
      </c>
      <c r="P11" s="1" t="s">
        <v>1161</v>
      </c>
      <c r="Q11" s="1" t="s">
        <v>1161</v>
      </c>
      <c r="R11" s="1" t="s">
        <v>1161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8.75" x14ac:dyDescent="0.25">
      <c r="A12" s="6">
        <f t="shared" si="2"/>
        <v>1</v>
      </c>
      <c r="B12" s="7" t="str">
        <f t="array" aca="1" ref="B12" ca="1">OFFSET(C12,,MATCH(TRUE,C12:AI12&lt;&gt;"",0)-1)</f>
        <v xml:space="preserve"> Direitos autorais</v>
      </c>
      <c r="C12" s="1" t="s">
        <v>811</v>
      </c>
      <c r="D12" s="1" t="s">
        <v>811</v>
      </c>
      <c r="E12" s="1" t="s">
        <v>811</v>
      </c>
      <c r="F12" s="1" t="s">
        <v>811</v>
      </c>
      <c r="G12" s="1" t="s">
        <v>811</v>
      </c>
      <c r="H12" s="1" t="s">
        <v>811</v>
      </c>
      <c r="I12" s="1" t="s">
        <v>811</v>
      </c>
      <c r="J12" s="1" t="s">
        <v>811</v>
      </c>
      <c r="K12" s="1" t="s">
        <v>1026</v>
      </c>
      <c r="L12" s="1" t="s">
        <v>1026</v>
      </c>
      <c r="M12" s="1" t="s">
        <v>1026</v>
      </c>
      <c r="N12" s="1" t="s">
        <v>1026</v>
      </c>
      <c r="O12" s="1" t="s">
        <v>1162</v>
      </c>
      <c r="P12" s="1" t="s">
        <v>1162</v>
      </c>
      <c r="Q12" s="1" t="s">
        <v>1162</v>
      </c>
      <c r="R12" s="1" t="s">
        <v>1162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8.75" x14ac:dyDescent="0.25">
      <c r="A13" s="6">
        <f t="shared" si="2"/>
        <v>1</v>
      </c>
      <c r="B13" s="7" t="str">
        <f t="array" aca="1" ref="B13" ca="1">OFFSET(C13,,MATCH(TRUE,C13:AI13&lt;&gt;"",0)-1)</f>
        <v xml:space="preserve"> Avisos para a leitura </v>
      </c>
      <c r="C13" s="1" t="s">
        <v>873</v>
      </c>
      <c r="D13" s="1" t="s">
        <v>873</v>
      </c>
      <c r="E13" s="1" t="s">
        <v>873</v>
      </c>
      <c r="F13" s="1" t="s">
        <v>873</v>
      </c>
      <c r="G13" s="1" t="s">
        <v>812</v>
      </c>
      <c r="H13" s="1" t="s">
        <v>812</v>
      </c>
      <c r="I13" s="1" t="s">
        <v>873</v>
      </c>
      <c r="J13" s="1" t="s">
        <v>873</v>
      </c>
      <c r="K13" s="1" t="s">
        <v>1027</v>
      </c>
      <c r="L13" s="1" t="s">
        <v>1027</v>
      </c>
      <c r="M13" s="1" t="s">
        <v>1027</v>
      </c>
      <c r="N13" s="1" t="s">
        <v>1128</v>
      </c>
      <c r="O13" s="1" t="s">
        <v>1163</v>
      </c>
      <c r="P13" s="1" t="s">
        <v>1163</v>
      </c>
      <c r="Q13" s="1" t="s">
        <v>1163</v>
      </c>
      <c r="R13" s="1" t="s">
        <v>1163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s="1" customFormat="1" ht="18.75" x14ac:dyDescent="0.25">
      <c r="A14" s="6">
        <f t="shared" si="2"/>
        <v>1</v>
      </c>
      <c r="B14" s="16" t="str">
        <f t="array" aca="1" ref="B14" ca="1">OFFSET(C14,,MATCH(TRUE,C14:AI14&lt;&gt;"",0)-1)</f>
        <v xml:space="preserve"> Segurança</v>
      </c>
      <c r="C14" s="17" t="s">
        <v>813</v>
      </c>
      <c r="D14" s="17" t="s">
        <v>813</v>
      </c>
      <c r="E14" s="17" t="s">
        <v>813</v>
      </c>
      <c r="F14" s="17" t="s">
        <v>813</v>
      </c>
      <c r="G14" s="17" t="s">
        <v>813</v>
      </c>
      <c r="H14" s="17" t="s">
        <v>813</v>
      </c>
      <c r="I14" s="17" t="s">
        <v>813</v>
      </c>
      <c r="J14" s="17" t="s">
        <v>813</v>
      </c>
      <c r="K14" s="17" t="s">
        <v>1028</v>
      </c>
      <c r="L14" s="17" t="s">
        <v>1028</v>
      </c>
      <c r="M14" s="17" t="s">
        <v>1120</v>
      </c>
      <c r="N14" s="17" t="s">
        <v>1120</v>
      </c>
      <c r="O14" s="17" t="s">
        <v>1164</v>
      </c>
      <c r="P14" s="17" t="s">
        <v>1164</v>
      </c>
      <c r="Q14" s="17" t="s">
        <v>1164</v>
      </c>
      <c r="R14" s="17" t="s">
        <v>1164</v>
      </c>
    </row>
    <row r="15" spans="1:36" ht="18.75" customHeight="1" x14ac:dyDescent="0.25">
      <c r="A15" s="6">
        <f t="shared" si="2"/>
        <v>1</v>
      </c>
      <c r="B15" s="7" t="str">
        <f t="array" aca="1" ref="B15" ca="1">OFFSET(C15,,MATCH(TRUE,C15:AI15&lt;&gt;"",0)-1)</f>
        <v xml:space="preserve"> Função de avisos de segurança</v>
      </c>
      <c r="C15" s="1" t="s">
        <v>874</v>
      </c>
      <c r="D15" s="1" t="s">
        <v>874</v>
      </c>
      <c r="E15" s="1" t="s">
        <v>874</v>
      </c>
      <c r="F15" s="1" t="s">
        <v>874</v>
      </c>
      <c r="G15" s="1" t="s">
        <v>814</v>
      </c>
      <c r="H15" s="1" t="s">
        <v>814</v>
      </c>
      <c r="I15" s="1" t="s">
        <v>874</v>
      </c>
      <c r="J15" s="1" t="s">
        <v>874</v>
      </c>
      <c r="K15" s="1" t="s">
        <v>1029</v>
      </c>
      <c r="L15" s="1" t="s">
        <v>1029</v>
      </c>
      <c r="M15" s="1" t="s">
        <v>1029</v>
      </c>
      <c r="N15" s="1" t="s">
        <v>1029</v>
      </c>
      <c r="O15" s="1" t="s">
        <v>1165</v>
      </c>
      <c r="P15" s="1" t="s">
        <v>1165</v>
      </c>
      <c r="Q15" s="1" t="s">
        <v>1165</v>
      </c>
      <c r="R15" s="1" t="s">
        <v>1165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8.75" x14ac:dyDescent="0.25">
      <c r="A16" s="6">
        <f t="shared" si="2"/>
        <v>1</v>
      </c>
      <c r="B16" s="7" t="str">
        <f t="array" aca="1" ref="B16" ca="1">OFFSET(C16,,MATCH(TRUE,C16:AI16&lt;&gt;"",0)-1)</f>
        <v xml:space="preserve"> Utilização prevista</v>
      </c>
      <c r="C16" s="1" t="s">
        <v>815</v>
      </c>
      <c r="D16" s="1" t="s">
        <v>815</v>
      </c>
      <c r="E16" s="1" t="s">
        <v>815</v>
      </c>
      <c r="F16" s="1" t="s">
        <v>815</v>
      </c>
      <c r="G16" s="1" t="s">
        <v>815</v>
      </c>
      <c r="H16" s="1" t="s">
        <v>815</v>
      </c>
      <c r="I16" s="1" t="s">
        <v>815</v>
      </c>
      <c r="J16" s="1" t="s">
        <v>815</v>
      </c>
      <c r="K16" s="1" t="s">
        <v>1030</v>
      </c>
      <c r="L16" s="1" t="s">
        <v>1030</v>
      </c>
      <c r="M16" s="1" t="s">
        <v>1030</v>
      </c>
      <c r="N16" s="1" t="s">
        <v>1030</v>
      </c>
      <c r="O16" s="1" t="s">
        <v>1166</v>
      </c>
      <c r="P16" s="1" t="s">
        <v>1260</v>
      </c>
      <c r="Q16" s="1" t="s">
        <v>1260</v>
      </c>
      <c r="R16" s="1" t="s">
        <v>1260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8.75" x14ac:dyDescent="0.25">
      <c r="A17" s="6">
        <f t="shared" si="2"/>
        <v>1</v>
      </c>
      <c r="B17" s="7" t="str">
        <f t="array" aca="1" ref="B17" ca="1">OFFSET(C17,,MATCH(TRUE,C17:AI17&lt;&gt;"",0)-1)</f>
        <v xml:space="preserve"> Uso incorreto razoavelmente previsível</v>
      </c>
      <c r="C17" s="1" t="s">
        <v>897</v>
      </c>
      <c r="D17" s="1" t="s">
        <v>897</v>
      </c>
      <c r="E17" s="1" t="s">
        <v>897</v>
      </c>
      <c r="F17" s="1" t="s">
        <v>897</v>
      </c>
      <c r="G17" s="1" t="s">
        <v>816</v>
      </c>
      <c r="H17" s="1" t="s">
        <v>816</v>
      </c>
      <c r="I17" s="1" t="s">
        <v>875</v>
      </c>
      <c r="J17" s="1" t="s">
        <v>897</v>
      </c>
      <c r="K17" s="1" t="s">
        <v>1031</v>
      </c>
      <c r="L17" s="1" t="s">
        <v>1031</v>
      </c>
      <c r="M17" s="1" t="s">
        <v>1031</v>
      </c>
      <c r="N17" s="1" t="s">
        <v>1031</v>
      </c>
      <c r="O17" s="1" t="s">
        <v>1167</v>
      </c>
      <c r="P17" s="1" t="s">
        <v>1167</v>
      </c>
      <c r="Q17" s="1" t="s">
        <v>1167</v>
      </c>
      <c r="R17" s="1" t="s">
        <v>1167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8.75" x14ac:dyDescent="0.25">
      <c r="A18" s="6">
        <f t="shared" si="2"/>
        <v>1</v>
      </c>
      <c r="B18" s="7" t="str">
        <f t="array" aca="1" ref="B18" ca="1">OFFSET(C18,,MATCH(TRUE,C18:AI18&lt;&gt;"",0)-1)</f>
        <v xml:space="preserve"> Deveres do operador</v>
      </c>
      <c r="C18" s="1" t="s">
        <v>817</v>
      </c>
      <c r="D18" s="1" t="s">
        <v>817</v>
      </c>
      <c r="E18" s="1" t="s">
        <v>817</v>
      </c>
      <c r="F18" s="1" t="s">
        <v>817</v>
      </c>
      <c r="G18" s="1" t="s">
        <v>817</v>
      </c>
      <c r="H18" s="1" t="s">
        <v>817</v>
      </c>
      <c r="I18" s="1" t="s">
        <v>817</v>
      </c>
      <c r="J18" s="1" t="s">
        <v>817</v>
      </c>
      <c r="K18" s="1" t="s">
        <v>1032</v>
      </c>
      <c r="L18" s="1" t="s">
        <v>1032</v>
      </c>
      <c r="M18" s="1" t="s">
        <v>1032</v>
      </c>
      <c r="N18" s="1" t="s">
        <v>1032</v>
      </c>
      <c r="O18" s="1" t="s">
        <v>1168</v>
      </c>
      <c r="P18" s="1" t="s">
        <v>1168</v>
      </c>
      <c r="Q18" s="1" t="s">
        <v>1168</v>
      </c>
      <c r="R18" s="1" t="s">
        <v>1168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8.75" x14ac:dyDescent="0.25">
      <c r="A19" s="6">
        <f t="shared" si="2"/>
        <v>1</v>
      </c>
      <c r="B19" s="7" t="str">
        <f t="array" aca="1" ref="B19" ca="1">OFFSET(C19,,MATCH(TRUE,C19:AI19&lt;&gt;"",0)-1)</f>
        <v xml:space="preserve"> Requisitos relativos ao pessoal</v>
      </c>
      <c r="C19" s="1" t="s">
        <v>876</v>
      </c>
      <c r="D19" s="1" t="s">
        <v>876</v>
      </c>
      <c r="E19" s="1" t="s">
        <v>876</v>
      </c>
      <c r="F19" s="1" t="s">
        <v>876</v>
      </c>
      <c r="G19" s="1" t="s">
        <v>818</v>
      </c>
      <c r="H19" s="1" t="s">
        <v>818</v>
      </c>
      <c r="I19" s="1" t="s">
        <v>876</v>
      </c>
      <c r="J19" s="1" t="s">
        <v>876</v>
      </c>
      <c r="K19" s="1" t="s">
        <v>1033</v>
      </c>
      <c r="L19" s="1" t="s">
        <v>1033</v>
      </c>
      <c r="M19" s="1" t="s">
        <v>1033</v>
      </c>
      <c r="N19" s="1" t="s">
        <v>1033</v>
      </c>
      <c r="O19" s="1" t="s">
        <v>1169</v>
      </c>
      <c r="P19" s="1" t="s">
        <v>1169</v>
      </c>
      <c r="Q19" s="1" t="s">
        <v>1169</v>
      </c>
      <c r="R19" s="1" t="s">
        <v>1169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8.75" x14ac:dyDescent="0.25">
      <c r="A20" s="6">
        <f t="shared" si="2"/>
        <v>1</v>
      </c>
      <c r="B20" s="7" t="str">
        <f t="array" aca="1" ref="B20" ca="1">OFFSET(C20,,MATCH(TRUE,C20:AI20&lt;&gt;"",0)-1)</f>
        <v xml:space="preserve"> Equipamento de proteção individual</v>
      </c>
      <c r="C20" s="1" t="s">
        <v>898</v>
      </c>
      <c r="D20" s="1" t="s">
        <v>898</v>
      </c>
      <c r="E20" s="1" t="s">
        <v>898</v>
      </c>
      <c r="F20" s="1" t="s">
        <v>898</v>
      </c>
      <c r="G20" s="1" t="s">
        <v>819</v>
      </c>
      <c r="H20" s="1" t="s">
        <v>819</v>
      </c>
      <c r="I20" s="1" t="s">
        <v>898</v>
      </c>
      <c r="J20" s="1" t="s">
        <v>898</v>
      </c>
      <c r="K20" s="1" t="s">
        <v>1034</v>
      </c>
      <c r="L20" s="1" t="s">
        <v>1034</v>
      </c>
      <c r="M20" s="1" t="s">
        <v>1034</v>
      </c>
      <c r="N20" s="1" t="s">
        <v>1034</v>
      </c>
      <c r="O20" s="1" t="s">
        <v>1170</v>
      </c>
      <c r="P20" s="1" t="s">
        <v>1170</v>
      </c>
      <c r="Q20" s="1" t="s">
        <v>1170</v>
      </c>
      <c r="R20" s="1" t="s">
        <v>1170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8.75" x14ac:dyDescent="0.25">
      <c r="A21" s="6">
        <f t="shared" si="2"/>
        <v>1</v>
      </c>
      <c r="B21" s="7" t="str">
        <f t="array" aca="1" ref="B21" ca="1">OFFSET(C21,,MATCH(TRUE,C21:AI21&lt;&gt;"",0)-1)</f>
        <v xml:space="preserve"> Áreas de risco e sua marcação</v>
      </c>
      <c r="C21" s="1" t="s">
        <v>899</v>
      </c>
      <c r="D21" s="1" t="s">
        <v>899</v>
      </c>
      <c r="E21" s="1" t="s">
        <v>899</v>
      </c>
      <c r="F21" s="1" t="s">
        <v>964</v>
      </c>
      <c r="G21" s="1" t="s">
        <v>820</v>
      </c>
      <c r="H21" s="1" t="s">
        <v>820</v>
      </c>
      <c r="I21" s="1" t="s">
        <v>877</v>
      </c>
      <c r="J21" s="1" t="s">
        <v>877</v>
      </c>
      <c r="K21" s="1" t="s">
        <v>1035</v>
      </c>
      <c r="L21" s="1" t="s">
        <v>1035</v>
      </c>
      <c r="M21" s="1" t="s">
        <v>1035</v>
      </c>
      <c r="N21" s="1" t="s">
        <v>1035</v>
      </c>
      <c r="O21" s="1" t="s">
        <v>1171</v>
      </c>
      <c r="P21" s="1" t="s">
        <v>1171</v>
      </c>
      <c r="Q21" s="1" t="s">
        <v>1171</v>
      </c>
      <c r="R21" s="1" t="s">
        <v>1171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8.75" x14ac:dyDescent="0.25">
      <c r="A22" s="6">
        <f t="shared" si="2"/>
        <v>0.1875</v>
      </c>
      <c r="B22" s="7" t="str">
        <f t="array" aca="1" ref="B22" ca="1">OFFSET(C22,,MATCH(TRUE,C22:AI22&lt;&gt;"",0)-1)</f>
        <v xml:space="preserve"> Sinais de proibição</v>
      </c>
      <c r="E22" s="1" t="s">
        <v>821</v>
      </c>
      <c r="G22" s="1" t="s">
        <v>821</v>
      </c>
      <c r="N22" s="1" t="s">
        <v>1129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8.75" x14ac:dyDescent="0.25">
      <c r="A23" s="6">
        <f t="shared" si="2"/>
        <v>1</v>
      </c>
      <c r="B23" s="7" t="str">
        <f t="array" aca="1" ref="B23" ca="1">OFFSET(C23,,MATCH(TRUE,C23:AI23&lt;&gt;"",0)-1)</f>
        <v xml:space="preserve"> Placas de aviso</v>
      </c>
      <c r="C23" s="1" t="s">
        <v>900</v>
      </c>
      <c r="D23" s="1" t="s">
        <v>939</v>
      </c>
      <c r="E23" s="1" t="s">
        <v>822</v>
      </c>
      <c r="F23" s="1" t="s">
        <v>822</v>
      </c>
      <c r="G23" s="1" t="s">
        <v>822</v>
      </c>
      <c r="H23" s="1" t="s">
        <v>822</v>
      </c>
      <c r="I23" s="1" t="s">
        <v>822</v>
      </c>
      <c r="J23" s="1" t="s">
        <v>822</v>
      </c>
      <c r="K23" s="1" t="s">
        <v>1036</v>
      </c>
      <c r="L23" s="1" t="s">
        <v>1036</v>
      </c>
      <c r="M23" s="1" t="s">
        <v>1036</v>
      </c>
      <c r="N23" s="1" t="s">
        <v>1036</v>
      </c>
      <c r="O23" s="1" t="s">
        <v>1172</v>
      </c>
      <c r="P23" s="1" t="s">
        <v>1172</v>
      </c>
      <c r="Q23" s="1" t="s">
        <v>1172</v>
      </c>
      <c r="R23" s="1" t="s">
        <v>1172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8.75" x14ac:dyDescent="0.25">
      <c r="A24" s="6">
        <f t="shared" si="2"/>
        <v>1</v>
      </c>
      <c r="B24" s="7" t="str">
        <f t="array" aca="1" ref="B24" ca="1">OFFSET(C24,,MATCH(TRUE,C24:AI24&lt;&gt;"",0)-1)</f>
        <v xml:space="preserve"> Sinais de obrigação</v>
      </c>
      <c r="C24" s="1" t="s">
        <v>823</v>
      </c>
      <c r="D24" s="1" t="s">
        <v>823</v>
      </c>
      <c r="E24" s="1" t="s">
        <v>823</v>
      </c>
      <c r="F24" s="1" t="s">
        <v>823</v>
      </c>
      <c r="G24" s="1" t="s">
        <v>823</v>
      </c>
      <c r="H24" s="1" t="s">
        <v>823</v>
      </c>
      <c r="I24" s="1" t="s">
        <v>823</v>
      </c>
      <c r="J24" s="1" t="s">
        <v>823</v>
      </c>
      <c r="K24" s="1" t="s">
        <v>1037</v>
      </c>
      <c r="L24" s="1" t="s">
        <v>1037</v>
      </c>
      <c r="M24" s="1" t="s">
        <v>1037</v>
      </c>
      <c r="N24" s="1" t="s">
        <v>1130</v>
      </c>
      <c r="O24" s="1" t="s">
        <v>1173</v>
      </c>
      <c r="P24" s="1" t="s">
        <v>1173</v>
      </c>
      <c r="Q24" s="1" t="s">
        <v>1173</v>
      </c>
      <c r="R24" s="1" t="s">
        <v>1173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8.75" x14ac:dyDescent="0.25">
      <c r="A25" s="6">
        <f t="shared" si="2"/>
        <v>1</v>
      </c>
      <c r="B25" s="7" t="str">
        <f t="array" aca="1" ref="B25" ca="1">OFFSET(C25,,MATCH(TRUE,C25:AI25&lt;&gt;"",0)-1)</f>
        <v xml:space="preserve"> Dispositivos de proteção</v>
      </c>
      <c r="C25" s="1" t="s">
        <v>824</v>
      </c>
      <c r="D25" s="1" t="s">
        <v>824</v>
      </c>
      <c r="E25" s="1" t="s">
        <v>824</v>
      </c>
      <c r="F25" s="1" t="s">
        <v>824</v>
      </c>
      <c r="G25" s="1" t="s">
        <v>824</v>
      </c>
      <c r="H25" s="1" t="s">
        <v>824</v>
      </c>
      <c r="I25" s="1" t="s">
        <v>824</v>
      </c>
      <c r="J25" s="1" t="s">
        <v>824</v>
      </c>
      <c r="K25" s="1" t="s">
        <v>1038</v>
      </c>
      <c r="L25" s="1" t="s">
        <v>1038</v>
      </c>
      <c r="M25" s="1" t="s">
        <v>1038</v>
      </c>
      <c r="N25" s="1" t="s">
        <v>1038</v>
      </c>
      <c r="O25" s="1" t="s">
        <v>1174</v>
      </c>
      <c r="P25" s="1" t="s">
        <v>1174</v>
      </c>
      <c r="Q25" s="1" t="s">
        <v>1174</v>
      </c>
      <c r="R25" s="1" t="s">
        <v>1174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8.75" x14ac:dyDescent="0.25">
      <c r="A26" s="6">
        <f t="shared" si="2"/>
        <v>0.9375</v>
      </c>
      <c r="B26" s="7" t="str">
        <f t="array" aca="1" ref="B26" ca="1">OFFSET(C26,,MATCH(TRUE,C26:AI26&lt;&gt;"",0)-1)</f>
        <v xml:space="preserve"> Botões de parada de emergência</v>
      </c>
      <c r="C26" s="1" t="s">
        <v>878</v>
      </c>
      <c r="D26" s="1" t="s">
        <v>937</v>
      </c>
      <c r="E26" s="1" t="s">
        <v>937</v>
      </c>
      <c r="F26" s="1" t="s">
        <v>937</v>
      </c>
      <c r="G26" s="1" t="s">
        <v>825</v>
      </c>
      <c r="H26" s="1" t="s">
        <v>825</v>
      </c>
      <c r="I26" s="1" t="s">
        <v>937</v>
      </c>
      <c r="J26" s="1" t="s">
        <v>937</v>
      </c>
      <c r="K26" s="1" t="s">
        <v>1039</v>
      </c>
      <c r="L26" s="1" t="s">
        <v>1039</v>
      </c>
      <c r="M26" s="1" t="s">
        <v>1039</v>
      </c>
      <c r="N26" s="1" t="s">
        <v>1039</v>
      </c>
      <c r="O26" s="1" t="s">
        <v>1175</v>
      </c>
      <c r="P26" s="1" t="s">
        <v>1175</v>
      </c>
      <c r="R26" s="1" t="s">
        <v>1175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8.75" x14ac:dyDescent="0.25">
      <c r="A27" s="6">
        <f t="shared" si="2"/>
        <v>1</v>
      </c>
      <c r="B27" s="7" t="str">
        <f t="array" aca="1" ref="B27" ca="1">OFFSET(C27,,MATCH(TRUE,C27:AI27&lt;&gt;"",0)-1)</f>
        <v xml:space="preserve"> Chaves seccionadoras dos acionamentos</v>
      </c>
      <c r="C27" s="1" t="s">
        <v>901</v>
      </c>
      <c r="D27" s="1" t="s">
        <v>940</v>
      </c>
      <c r="E27" s="1" t="s">
        <v>958</v>
      </c>
      <c r="F27" s="1" t="s">
        <v>965</v>
      </c>
      <c r="G27" s="1" t="s">
        <v>976</v>
      </c>
      <c r="H27" s="1" t="s">
        <v>988</v>
      </c>
      <c r="I27" s="1" t="s">
        <v>1001</v>
      </c>
      <c r="J27" s="1" t="s">
        <v>1001</v>
      </c>
      <c r="K27" s="1" t="s">
        <v>1040</v>
      </c>
      <c r="L27" s="1" t="s">
        <v>1117</v>
      </c>
      <c r="M27" s="1" t="s">
        <v>1117</v>
      </c>
      <c r="N27" s="1" t="s">
        <v>1131</v>
      </c>
      <c r="O27" s="1" t="s">
        <v>1176</v>
      </c>
      <c r="P27" s="1" t="s">
        <v>1176</v>
      </c>
      <c r="Q27" s="1" t="s">
        <v>1176</v>
      </c>
      <c r="R27" s="1" t="s">
        <v>1176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8.75" x14ac:dyDescent="0.25">
      <c r="A28" s="6">
        <f t="shared" si="2"/>
        <v>6.25E-2</v>
      </c>
      <c r="B28" s="7" t="str">
        <f t="array" aca="1" ref="B28" ca="1">OFFSET(C28,,MATCH(TRUE,C28:AI28&lt;&gt;"",0)-1)</f>
        <v xml:space="preserve"> Zonas de parada de emergência</v>
      </c>
      <c r="F28" s="1" t="s">
        <v>966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8.75" x14ac:dyDescent="0.25">
      <c r="A29" s="6">
        <f t="shared" si="2"/>
        <v>0.9375</v>
      </c>
      <c r="B29" s="7" t="str">
        <f t="array" aca="1" ref="B29" ca="1">OFFSET(C29,,MATCH(TRUE,C29:AI29&lt;&gt;"",0)-1)</f>
        <v xml:space="preserve"> Proteção</v>
      </c>
      <c r="C29" s="1" t="s">
        <v>902</v>
      </c>
      <c r="D29" s="1" t="s">
        <v>902</v>
      </c>
      <c r="E29" s="1" t="s">
        <v>902</v>
      </c>
      <c r="G29" s="1" t="s">
        <v>977</v>
      </c>
      <c r="H29" s="1" t="s">
        <v>977</v>
      </c>
      <c r="I29" s="1" t="s">
        <v>903</v>
      </c>
      <c r="J29" s="1" t="s">
        <v>903</v>
      </c>
      <c r="K29" s="1" t="s">
        <v>1041</v>
      </c>
      <c r="L29" s="1" t="s">
        <v>1118</v>
      </c>
      <c r="M29" s="1" t="s">
        <v>1118</v>
      </c>
      <c r="N29" s="1" t="s">
        <v>1132</v>
      </c>
      <c r="O29" s="1" t="s">
        <v>1177</v>
      </c>
      <c r="P29" s="1" t="s">
        <v>1177</v>
      </c>
      <c r="Q29" s="1" t="s">
        <v>1267</v>
      </c>
      <c r="R29" s="1" t="s">
        <v>1178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8.75" x14ac:dyDescent="0.25">
      <c r="A30" s="6">
        <f t="shared" si="2"/>
        <v>0.6875</v>
      </c>
      <c r="B30" s="7" t="str">
        <f t="array" aca="1" ref="B30" ca="1">OFFSET(C30,,MATCH(TRUE,C30:AI30&lt;&gt;"",0)-1)</f>
        <v xml:space="preserve"> Placas de proteção</v>
      </c>
      <c r="C30" s="1" t="s">
        <v>903</v>
      </c>
      <c r="D30" s="1" t="s">
        <v>903</v>
      </c>
      <c r="E30" s="1" t="s">
        <v>903</v>
      </c>
      <c r="H30" s="1" t="s">
        <v>989</v>
      </c>
      <c r="I30" s="1" t="s">
        <v>1002</v>
      </c>
      <c r="J30" s="1" t="s">
        <v>1002</v>
      </c>
      <c r="K30" s="1" t="s">
        <v>1042</v>
      </c>
      <c r="L30" s="1" t="s">
        <v>1042</v>
      </c>
      <c r="N30" s="1" t="s">
        <v>1042</v>
      </c>
      <c r="O30" s="1" t="s">
        <v>1178</v>
      </c>
      <c r="P30" s="1" t="s">
        <v>1178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8.75" x14ac:dyDescent="0.25">
      <c r="A31" s="6">
        <f t="shared" si="2"/>
        <v>6.25E-2</v>
      </c>
      <c r="B31" s="7" t="str">
        <f t="array" aca="1" ref="B31" ca="1">OFFSET(C31,,MATCH(TRUE,C31:AI31&lt;&gt;"",0)-1)</f>
        <v xml:space="preserve"> Cerca de proteção com porta de proteção no distribuidor de embalagens grupadas</v>
      </c>
      <c r="D31" s="1" t="s">
        <v>941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8.75" x14ac:dyDescent="0.25">
      <c r="A32" s="6">
        <f t="shared" si="2"/>
        <v>6.25E-2</v>
      </c>
      <c r="B32" s="7" t="str">
        <f t="array" aca="1" ref="B32" ca="1">OFFSET(C32,,MATCH(TRUE,C32:AI32&lt;&gt;"",0)-1)</f>
        <v xml:space="preserve"> Dispositivo de proteção do dispositivo rotativo com sistema pneumático</v>
      </c>
      <c r="G32" s="1" t="s">
        <v>978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8.75" x14ac:dyDescent="0.25">
      <c r="A33" s="6">
        <f t="shared" si="2"/>
        <v>0.875</v>
      </c>
      <c r="B33" s="7" t="str">
        <f t="array" aca="1" ref="B33" ca="1">OFFSET(C33,,MATCH(TRUE,C33:AI33&lt;&gt;"",0)-1)</f>
        <v xml:space="preserve"> Dispositivos para isolamento e bloqueio de energias</v>
      </c>
      <c r="C33" s="1" t="s">
        <v>904</v>
      </c>
      <c r="D33" s="1" t="s">
        <v>904</v>
      </c>
      <c r="E33" s="1" t="s">
        <v>904</v>
      </c>
      <c r="G33" s="1" t="s">
        <v>826</v>
      </c>
      <c r="H33" s="1" t="s">
        <v>826</v>
      </c>
      <c r="I33" s="1" t="s">
        <v>1003</v>
      </c>
      <c r="J33" s="1" t="s">
        <v>904</v>
      </c>
      <c r="K33" s="1" t="s">
        <v>1043</v>
      </c>
      <c r="L33" s="1" t="s">
        <v>1043</v>
      </c>
      <c r="M33" s="1" t="s">
        <v>1043</v>
      </c>
      <c r="N33" s="1" t="s">
        <v>1043</v>
      </c>
      <c r="O33" s="1" t="s">
        <v>1179</v>
      </c>
      <c r="Q33" s="1" t="s">
        <v>1179</v>
      </c>
      <c r="R33" s="1" t="s">
        <v>1179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8.75" x14ac:dyDescent="0.25">
      <c r="A34" s="6">
        <f t="shared" si="2"/>
        <v>6.25E-2</v>
      </c>
      <c r="B34" s="7" t="str">
        <f t="array" aca="1" ref="B34" ca="1">OFFSET(C34,,MATCH(TRUE,C34:AI34&lt;&gt;"",0)-1)</f>
        <v xml:space="preserve"> Válvula de bloqueio do sistema pneumático</v>
      </c>
      <c r="G34" s="1" t="s">
        <v>979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8.75" x14ac:dyDescent="0.25">
      <c r="A35" s="6">
        <f t="shared" si="2"/>
        <v>6.25E-2</v>
      </c>
      <c r="B35" s="7" t="str">
        <f t="array" aca="1" ref="B35" ca="1">OFFSET(C35,,MATCH(TRUE,C35:AI35&lt;&gt;"",0)-1)</f>
        <v xml:space="preserve"> Conceito de parada de emergência</v>
      </c>
      <c r="D35" s="1" t="s">
        <v>942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8.75" x14ac:dyDescent="0.25">
      <c r="A36" s="6">
        <f t="shared" si="2"/>
        <v>1</v>
      </c>
      <c r="B36" s="7" t="str">
        <f t="array" aca="1" ref="B36" ca="1">OFFSET(C36,,MATCH(TRUE,C36:AI36&lt;&gt;"",0)-1)</f>
        <v xml:space="preserve"> Conduta em situações perigosas e acidentes</v>
      </c>
      <c r="C36" s="1" t="s">
        <v>905</v>
      </c>
      <c r="D36" s="1" t="s">
        <v>905</v>
      </c>
      <c r="E36" s="1" t="s">
        <v>905</v>
      </c>
      <c r="F36" s="1" t="s">
        <v>905</v>
      </c>
      <c r="G36" s="1" t="s">
        <v>827</v>
      </c>
      <c r="H36" s="1" t="s">
        <v>827</v>
      </c>
      <c r="I36" s="1" t="s">
        <v>879</v>
      </c>
      <c r="J36" s="1" t="s">
        <v>905</v>
      </c>
      <c r="K36" s="1" t="s">
        <v>1044</v>
      </c>
      <c r="L36" s="1" t="s">
        <v>1044</v>
      </c>
      <c r="M36" s="1" t="s">
        <v>1044</v>
      </c>
      <c r="N36" s="1" t="s">
        <v>1044</v>
      </c>
      <c r="O36" s="1" t="s">
        <v>1180</v>
      </c>
      <c r="P36" s="1" t="s">
        <v>1180</v>
      </c>
      <c r="Q36" s="1" t="s">
        <v>1180</v>
      </c>
      <c r="R36" s="1" t="s">
        <v>1180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8.75" x14ac:dyDescent="0.25">
      <c r="A37" s="6">
        <f t="shared" si="2"/>
        <v>1</v>
      </c>
      <c r="B37" s="7" t="str">
        <f t="array" aca="1" ref="B37" ca="1">OFFSET(C37,,MATCH(TRUE,C37:AI37&lt;&gt;"",0)-1)</f>
        <v xml:space="preserve"> Estados de operação e modos de operação</v>
      </c>
      <c r="C37" s="1" t="s">
        <v>906</v>
      </c>
      <c r="D37" s="1" t="s">
        <v>906</v>
      </c>
      <c r="E37" s="1" t="s">
        <v>906</v>
      </c>
      <c r="F37" s="1" t="s">
        <v>967</v>
      </c>
      <c r="G37" s="1" t="s">
        <v>828</v>
      </c>
      <c r="H37" s="1" t="s">
        <v>828</v>
      </c>
      <c r="I37" s="1" t="s">
        <v>967</v>
      </c>
      <c r="J37" s="1" t="s">
        <v>967</v>
      </c>
      <c r="K37" s="1" t="s">
        <v>1045</v>
      </c>
      <c r="L37" s="1" t="s">
        <v>1045</v>
      </c>
      <c r="M37" s="1" t="s">
        <v>1045</v>
      </c>
      <c r="N37" s="1" t="s">
        <v>1045</v>
      </c>
      <c r="O37" s="1" t="s">
        <v>1181</v>
      </c>
      <c r="P37" s="1" t="s">
        <v>1181</v>
      </c>
      <c r="Q37" s="1" t="s">
        <v>1181</v>
      </c>
      <c r="R37" s="1" t="s">
        <v>1181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8.75" x14ac:dyDescent="0.25">
      <c r="A38" s="6">
        <f t="shared" si="2"/>
        <v>1</v>
      </c>
      <c r="B38" s="7" t="str">
        <f t="array" aca="1" ref="B38" ca="1">OFFSET(C38,,MATCH(TRUE,C38:AI38&lt;&gt;"",0)-1)</f>
        <v xml:space="preserve"> Máquina desenergizada</v>
      </c>
      <c r="C38" s="1" t="s">
        <v>907</v>
      </c>
      <c r="D38" s="1" t="s">
        <v>907</v>
      </c>
      <c r="E38" s="1" t="s">
        <v>907</v>
      </c>
      <c r="F38" s="1" t="s">
        <v>907</v>
      </c>
      <c r="G38" s="1" t="s">
        <v>829</v>
      </c>
      <c r="H38" s="1" t="s">
        <v>829</v>
      </c>
      <c r="I38" s="1" t="s">
        <v>829</v>
      </c>
      <c r="J38" s="1" t="s">
        <v>829</v>
      </c>
      <c r="K38" s="1" t="s">
        <v>1046</v>
      </c>
      <c r="L38" s="1" t="s">
        <v>1046</v>
      </c>
      <c r="M38" s="1" t="s">
        <v>1046</v>
      </c>
      <c r="N38" s="1" t="s">
        <v>1133</v>
      </c>
      <c r="O38" s="1" t="s">
        <v>1182</v>
      </c>
      <c r="P38" s="1" t="s">
        <v>1182</v>
      </c>
      <c r="Q38" s="1" t="s">
        <v>1182</v>
      </c>
      <c r="R38" s="1" t="s">
        <v>1182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8.75" x14ac:dyDescent="0.25">
      <c r="A39" s="6">
        <f t="shared" si="2"/>
        <v>1</v>
      </c>
      <c r="B39" s="7" t="str">
        <f t="array" aca="1" ref="B39" ca="1">OFFSET(C39,,MATCH(TRUE,C39:AI39&lt;&gt;"",0)-1)</f>
        <v xml:space="preserve"> Estado operacional Deslig</v>
      </c>
      <c r="C39" s="1" t="s">
        <v>908</v>
      </c>
      <c r="D39" s="1" t="s">
        <v>908</v>
      </c>
      <c r="E39" s="1" t="s">
        <v>908</v>
      </c>
      <c r="F39" s="1" t="s">
        <v>908</v>
      </c>
      <c r="G39" s="1" t="s">
        <v>830</v>
      </c>
      <c r="H39" s="1" t="s">
        <v>830</v>
      </c>
      <c r="I39" s="1" t="s">
        <v>1004</v>
      </c>
      <c r="J39" s="1" t="s">
        <v>974</v>
      </c>
      <c r="K39" s="1" t="s">
        <v>1047</v>
      </c>
      <c r="L39" s="1" t="s">
        <v>1047</v>
      </c>
      <c r="M39" s="1" t="s">
        <v>1047</v>
      </c>
      <c r="N39" s="1" t="s">
        <v>1047</v>
      </c>
      <c r="O39" s="1" t="s">
        <v>1183</v>
      </c>
      <c r="P39" s="1" t="s">
        <v>1183</v>
      </c>
      <c r="Q39" s="1" t="s">
        <v>1183</v>
      </c>
      <c r="R39" s="1" t="s">
        <v>1183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8.75" x14ac:dyDescent="0.25">
      <c r="A40" s="6">
        <f t="shared" si="2"/>
        <v>1</v>
      </c>
      <c r="B40" s="7" t="str">
        <f t="array" aca="1" ref="B40" ca="1">OFFSET(C40,,MATCH(TRUE,C40:AI40&lt;&gt;"",0)-1)</f>
        <v xml:space="preserve"> Estado operacional Lig</v>
      </c>
      <c r="C40" s="1" t="s">
        <v>909</v>
      </c>
      <c r="D40" s="1" t="s">
        <v>909</v>
      </c>
      <c r="E40" s="1" t="s">
        <v>909</v>
      </c>
      <c r="F40" s="1" t="s">
        <v>909</v>
      </c>
      <c r="G40" s="1" t="s">
        <v>831</v>
      </c>
      <c r="H40" s="1" t="s">
        <v>831</v>
      </c>
      <c r="I40" s="1" t="s">
        <v>831</v>
      </c>
      <c r="J40" s="1" t="s">
        <v>975</v>
      </c>
      <c r="K40" s="1" t="s">
        <v>1048</v>
      </c>
      <c r="L40" s="1" t="s">
        <v>1048</v>
      </c>
      <c r="M40" s="1" t="s">
        <v>1048</v>
      </c>
      <c r="N40" s="1" t="s">
        <v>1048</v>
      </c>
      <c r="O40" s="1" t="s">
        <v>1184</v>
      </c>
      <c r="P40" s="1" t="s">
        <v>1184</v>
      </c>
      <c r="Q40" s="1" t="s">
        <v>1184</v>
      </c>
      <c r="R40" s="1" t="s">
        <v>1184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8.75" x14ac:dyDescent="0.25">
      <c r="A41" s="6">
        <f t="shared" si="2"/>
        <v>1</v>
      </c>
      <c r="B41" s="7" t="str">
        <f t="array" aca="1" ref="B41" ca="1">OFFSET(C41,,MATCH(TRUE,C41:AI41&lt;&gt;"",0)-1)</f>
        <v xml:space="preserve"> Riscos residuais</v>
      </c>
      <c r="C41" s="1" t="s">
        <v>880</v>
      </c>
      <c r="D41" s="1" t="s">
        <v>880</v>
      </c>
      <c r="E41" s="1" t="s">
        <v>880</v>
      </c>
      <c r="F41" s="1" t="s">
        <v>880</v>
      </c>
      <c r="G41" s="1" t="s">
        <v>832</v>
      </c>
      <c r="H41" s="1" t="s">
        <v>832</v>
      </c>
      <c r="I41" s="1" t="s">
        <v>880</v>
      </c>
      <c r="J41" s="1" t="s">
        <v>880</v>
      </c>
      <c r="K41" s="1" t="s">
        <v>1049</v>
      </c>
      <c r="L41" s="1" t="s">
        <v>1049</v>
      </c>
      <c r="M41" s="1" t="s">
        <v>1049</v>
      </c>
      <c r="N41" s="1" t="s">
        <v>1049</v>
      </c>
      <c r="O41" s="1" t="s">
        <v>1185</v>
      </c>
      <c r="P41" s="1" t="s">
        <v>1185</v>
      </c>
      <c r="Q41" s="1" t="s">
        <v>1185</v>
      </c>
      <c r="R41" s="1" t="s">
        <v>1185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8.75" x14ac:dyDescent="0.25">
      <c r="A42" s="6">
        <f t="shared" si="2"/>
        <v>1</v>
      </c>
      <c r="B42" s="16" t="str">
        <f t="array" aca="1" ref="B42" ca="1">OFFSET(C42,,MATCH(TRUE,C42:AI42&lt;&gt;"",0)-1)</f>
        <v xml:space="preserve"> Estrutura e funcionamento</v>
      </c>
      <c r="C42" s="17" t="s">
        <v>833</v>
      </c>
      <c r="D42" s="17" t="s">
        <v>833</v>
      </c>
      <c r="E42" s="17" t="s">
        <v>833</v>
      </c>
      <c r="F42" s="17" t="s">
        <v>833</v>
      </c>
      <c r="G42" s="17" t="s">
        <v>980</v>
      </c>
      <c r="H42" s="17" t="s">
        <v>833</v>
      </c>
      <c r="I42" s="17" t="s">
        <v>833</v>
      </c>
      <c r="J42" s="17" t="s">
        <v>833</v>
      </c>
      <c r="K42" s="17" t="s">
        <v>1050</v>
      </c>
      <c r="L42" s="17" t="s">
        <v>1050</v>
      </c>
      <c r="M42" s="17" t="s">
        <v>1050</v>
      </c>
      <c r="N42" s="17" t="s">
        <v>1050</v>
      </c>
      <c r="O42" s="17" t="s">
        <v>1186</v>
      </c>
      <c r="P42" s="17" t="s">
        <v>1186</v>
      </c>
      <c r="Q42" s="17" t="s">
        <v>1186</v>
      </c>
      <c r="R42" s="17" t="s">
        <v>1186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8.75" x14ac:dyDescent="0.25">
      <c r="A43" s="6">
        <f t="shared" si="2"/>
        <v>1</v>
      </c>
      <c r="B43" s="7" t="str">
        <f t="array" aca="1" ref="B43" ca="1">OFFSET(C43,,MATCH(TRUE,C43:AI43&lt;&gt;"",0)-1)</f>
        <v xml:space="preserve"> Sistema de transporte contínuo</v>
      </c>
      <c r="C43" s="1" t="s">
        <v>910</v>
      </c>
      <c r="D43" s="1" t="s">
        <v>910</v>
      </c>
      <c r="E43" s="1" t="s">
        <v>910</v>
      </c>
      <c r="F43" s="1" t="s">
        <v>910</v>
      </c>
      <c r="G43" s="1" t="s">
        <v>910</v>
      </c>
      <c r="H43" s="1" t="s">
        <v>910</v>
      </c>
      <c r="I43" s="1" t="s">
        <v>910</v>
      </c>
      <c r="J43" s="1" t="s">
        <v>910</v>
      </c>
      <c r="K43" s="1" t="s">
        <v>1051</v>
      </c>
      <c r="L43" s="1" t="s">
        <v>1051</v>
      </c>
      <c r="M43" s="1" t="s">
        <v>1051</v>
      </c>
      <c r="N43" s="1" t="s">
        <v>1051</v>
      </c>
      <c r="O43" s="1" t="s">
        <v>1187</v>
      </c>
      <c r="P43" s="1" t="s">
        <v>1187</v>
      </c>
      <c r="Q43" s="1" t="s">
        <v>1187</v>
      </c>
      <c r="R43" s="1" t="s">
        <v>1187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8.75" x14ac:dyDescent="0.25">
      <c r="A44" s="6">
        <f t="shared" si="2"/>
        <v>1</v>
      </c>
      <c r="B44" s="7" t="str">
        <f t="array" aca="1" ref="B44" ca="1">OFFSET(C44,,MATCH(TRUE,C44:AI44&lt;&gt;"",0)-1)</f>
        <v xml:space="preserve"> Comando do transportador</v>
      </c>
      <c r="C44" s="1" t="s">
        <v>911</v>
      </c>
      <c r="D44" s="1" t="s">
        <v>911</v>
      </c>
      <c r="E44" s="1" t="s">
        <v>911</v>
      </c>
      <c r="F44" s="1" t="s">
        <v>968</v>
      </c>
      <c r="G44" s="1" t="s">
        <v>981</v>
      </c>
      <c r="H44" s="1" t="s">
        <v>981</v>
      </c>
      <c r="I44" s="1" t="s">
        <v>1005</v>
      </c>
      <c r="J44" s="1" t="s">
        <v>1005</v>
      </c>
      <c r="K44" s="1" t="s">
        <v>1052</v>
      </c>
      <c r="L44" s="1" t="s">
        <v>1052</v>
      </c>
      <c r="M44" s="1" t="s">
        <v>1052</v>
      </c>
      <c r="N44" s="1" t="s">
        <v>1134</v>
      </c>
      <c r="O44" s="1" t="s">
        <v>1188</v>
      </c>
      <c r="P44" s="1" t="s">
        <v>1188</v>
      </c>
      <c r="Q44" s="1" t="s">
        <v>1188</v>
      </c>
      <c r="R44" s="1" t="s">
        <v>1188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8.75" x14ac:dyDescent="0.25">
      <c r="A45" s="6">
        <f t="shared" si="2"/>
        <v>1</v>
      </c>
      <c r="B45" s="7" t="str">
        <f t="array" aca="1" ref="B45" ca="1">OFFSET(C45,,MATCH(TRUE,C45:AI45&lt;&gt;"",0)-1)</f>
        <v xml:space="preserve"> Áreas</v>
      </c>
      <c r="C45" s="1" t="s">
        <v>912</v>
      </c>
      <c r="D45" s="1" t="s">
        <v>912</v>
      </c>
      <c r="E45" s="1" t="s">
        <v>912</v>
      </c>
      <c r="F45" s="1" t="s">
        <v>912</v>
      </c>
      <c r="G45" s="1" t="s">
        <v>912</v>
      </c>
      <c r="H45" s="1" t="s">
        <v>912</v>
      </c>
      <c r="I45" s="1" t="s">
        <v>912</v>
      </c>
      <c r="J45" s="1" t="s">
        <v>912</v>
      </c>
      <c r="K45" s="1" t="s">
        <v>1053</v>
      </c>
      <c r="L45" s="1" t="s">
        <v>1053</v>
      </c>
      <c r="M45" s="1" t="s">
        <v>1053</v>
      </c>
      <c r="N45" s="1" t="s">
        <v>1053</v>
      </c>
      <c r="O45" s="1" t="s">
        <v>912</v>
      </c>
      <c r="P45" s="1" t="s">
        <v>912</v>
      </c>
      <c r="Q45" s="1" t="s">
        <v>912</v>
      </c>
      <c r="R45" s="1" t="s">
        <v>912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8.75" x14ac:dyDescent="0.25">
      <c r="A46" s="6">
        <f t="shared" si="2"/>
        <v>1</v>
      </c>
      <c r="B46" s="7" t="str">
        <f t="array" aca="1" ref="B46" ca="1">OFFSET(C46,,MATCH(TRUE,C46:AI46&lt;&gt;"",0)-1)</f>
        <v xml:space="preserve"> Segmentos</v>
      </c>
      <c r="C46" s="1" t="s">
        <v>913</v>
      </c>
      <c r="D46" s="1" t="s">
        <v>913</v>
      </c>
      <c r="E46" s="1" t="s">
        <v>913</v>
      </c>
      <c r="F46" s="1" t="s">
        <v>913</v>
      </c>
      <c r="G46" s="1" t="s">
        <v>913</v>
      </c>
      <c r="H46" s="1" t="s">
        <v>913</v>
      </c>
      <c r="I46" s="1" t="s">
        <v>913</v>
      </c>
      <c r="J46" s="1" t="s">
        <v>913</v>
      </c>
      <c r="K46" s="1" t="s">
        <v>1054</v>
      </c>
      <c r="L46" s="1" t="s">
        <v>1054</v>
      </c>
      <c r="M46" s="1" t="s">
        <v>1054</v>
      </c>
      <c r="N46" s="1" t="s">
        <v>1054</v>
      </c>
      <c r="O46" s="1" t="s">
        <v>913</v>
      </c>
      <c r="P46" s="1" t="s">
        <v>913</v>
      </c>
      <c r="Q46" s="1" t="s">
        <v>913</v>
      </c>
      <c r="R46" s="1" t="s">
        <v>913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8.75" x14ac:dyDescent="0.25">
      <c r="A47" s="6">
        <f t="shared" si="2"/>
        <v>0.125</v>
      </c>
      <c r="B47" s="7" t="str">
        <f t="array" aca="1" ref="B47" ca="1">OFFSET(C47,,MATCH(TRUE,C47:AI47&lt;&gt;"",0)-1)</f>
        <v xml:space="preserve"> Esteira transportadora de correia</v>
      </c>
      <c r="I47" s="1" t="s">
        <v>1006</v>
      </c>
      <c r="J47" s="1" t="s">
        <v>1006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8.75" x14ac:dyDescent="0.25">
      <c r="A48" s="6">
        <f t="shared" si="2"/>
        <v>0.125</v>
      </c>
      <c r="B48" s="7" t="str">
        <f t="array" aca="1" ref="B48" ca="1">OFFSET(C48,,MATCH(TRUE,C48:AI48&lt;&gt;"",0)-1)</f>
        <v xml:space="preserve"> Curva da cinta transportadora articulada</v>
      </c>
      <c r="I48" s="1" t="s">
        <v>1007</v>
      </c>
      <c r="J48" s="1" t="s">
        <v>1007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8.75" x14ac:dyDescent="0.25">
      <c r="A49" s="6">
        <f t="shared" si="2"/>
        <v>1</v>
      </c>
      <c r="B49" s="7" t="str">
        <f t="array" aca="1" ref="B49" ca="1">OFFSET(C49,,MATCH(TRUE,C49:AI49&lt;&gt;"",0)-1)</f>
        <v xml:space="preserve"> Guia</v>
      </c>
      <c r="C49" s="1" t="s">
        <v>914</v>
      </c>
      <c r="D49" s="1" t="s">
        <v>943</v>
      </c>
      <c r="E49" s="1" t="s">
        <v>914</v>
      </c>
      <c r="F49" s="1" t="s">
        <v>969</v>
      </c>
      <c r="G49" s="1" t="s">
        <v>982</v>
      </c>
      <c r="H49" s="1" t="s">
        <v>990</v>
      </c>
      <c r="I49" s="1" t="s">
        <v>1008</v>
      </c>
      <c r="J49" s="1" t="s">
        <v>1008</v>
      </c>
      <c r="K49" s="1" t="s">
        <v>1055</v>
      </c>
      <c r="L49" s="1" t="s">
        <v>1055</v>
      </c>
      <c r="M49" s="1" t="s">
        <v>1055</v>
      </c>
      <c r="N49" s="1" t="s">
        <v>1055</v>
      </c>
      <c r="O49" s="1" t="s">
        <v>1189</v>
      </c>
      <c r="P49" s="1" t="s">
        <v>1189</v>
      </c>
      <c r="Q49" s="1" t="s">
        <v>1189</v>
      </c>
      <c r="R49" s="1" t="s">
        <v>1189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8.75" x14ac:dyDescent="0.25">
      <c r="A50" s="6">
        <f t="shared" si="2"/>
        <v>1</v>
      </c>
      <c r="B50" s="7" t="str">
        <f t="array" aca="1" ref="B50" ca="1">OFFSET(C50,,MATCH(TRUE,C50:AI50&lt;&gt;"",0)-1)</f>
        <v xml:space="preserve"> Postos de trabalho</v>
      </c>
      <c r="C50" s="1" t="s">
        <v>915</v>
      </c>
      <c r="D50" s="1" t="s">
        <v>915</v>
      </c>
      <c r="E50" s="1" t="s">
        <v>915</v>
      </c>
      <c r="F50" s="1" t="s">
        <v>915</v>
      </c>
      <c r="G50" s="1" t="s">
        <v>915</v>
      </c>
      <c r="H50" s="1" t="s">
        <v>915</v>
      </c>
      <c r="I50" s="1" t="s">
        <v>915</v>
      </c>
      <c r="J50" s="1" t="s">
        <v>915</v>
      </c>
      <c r="K50" s="1" t="s">
        <v>1056</v>
      </c>
      <c r="L50" s="1" t="s">
        <v>1056</v>
      </c>
      <c r="M50" s="1" t="s">
        <v>1056</v>
      </c>
      <c r="N50" s="1" t="s">
        <v>1056</v>
      </c>
      <c r="O50" s="1" t="s">
        <v>1190</v>
      </c>
      <c r="P50" s="1" t="s">
        <v>1190</v>
      </c>
      <c r="Q50" s="1" t="s">
        <v>1190</v>
      </c>
      <c r="R50" s="1" t="s">
        <v>1190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8.75" x14ac:dyDescent="0.25">
      <c r="A51" s="6">
        <f t="shared" si="2"/>
        <v>1</v>
      </c>
      <c r="B51" s="7" t="str">
        <f t="array" aca="1" ref="B51" ca="1">OFFSET(C51,,MATCH(TRUE,C51:AI51&lt;&gt;"",0)-1)</f>
        <v xml:space="preserve"> Dispositivos de comando</v>
      </c>
      <c r="C51" s="1" t="s">
        <v>847</v>
      </c>
      <c r="D51" s="1" t="s">
        <v>847</v>
      </c>
      <c r="E51" s="1" t="s">
        <v>847</v>
      </c>
      <c r="F51" s="1" t="s">
        <v>847</v>
      </c>
      <c r="G51" s="1" t="s">
        <v>847</v>
      </c>
      <c r="H51" s="1" t="s">
        <v>847</v>
      </c>
      <c r="I51" s="1" t="s">
        <v>847</v>
      </c>
      <c r="J51" s="1" t="s">
        <v>847</v>
      </c>
      <c r="K51" s="1" t="s">
        <v>1057</v>
      </c>
      <c r="L51" s="1" t="s">
        <v>1057</v>
      </c>
      <c r="M51" s="1" t="s">
        <v>1057</v>
      </c>
      <c r="N51" s="1" t="s">
        <v>1057</v>
      </c>
      <c r="O51" s="1" t="s">
        <v>1191</v>
      </c>
      <c r="P51" s="1" t="s">
        <v>1191</v>
      </c>
      <c r="Q51" s="1" t="s">
        <v>1191</v>
      </c>
      <c r="R51" s="1" t="s">
        <v>1191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8.75" x14ac:dyDescent="0.25">
      <c r="A52" s="6">
        <f t="shared" si="2"/>
        <v>0.3125</v>
      </c>
      <c r="B52" s="7" t="str">
        <f t="array" aca="1" ref="B52" ca="1">OFFSET(C52,,MATCH(TRUE,C52:AI52&lt;&gt;"",0)-1)</f>
        <v xml:space="preserve"> Console 01</v>
      </c>
      <c r="D52" s="1" t="s">
        <v>944</v>
      </c>
      <c r="E52" s="1" t="s">
        <v>944</v>
      </c>
      <c r="K52" s="1" t="s">
        <v>1058</v>
      </c>
      <c r="N52" s="1" t="s">
        <v>1135</v>
      </c>
      <c r="O52" s="1" t="s">
        <v>1192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8.75" x14ac:dyDescent="0.25">
      <c r="A53" s="6">
        <f t="shared" si="2"/>
        <v>0.3125</v>
      </c>
      <c r="B53" s="7" t="str">
        <f t="array" aca="1" ref="B53" ca="1">OFFSET(C53,,MATCH(TRUE,C53:AI53&lt;&gt;"",0)-1)</f>
        <v xml:space="preserve"> Interface gráfica do usuário</v>
      </c>
      <c r="D53" s="1" t="s">
        <v>945</v>
      </c>
      <c r="E53" s="1" t="s">
        <v>945</v>
      </c>
      <c r="K53" s="1" t="s">
        <v>1059</v>
      </c>
      <c r="N53" s="1" t="s">
        <v>1059</v>
      </c>
      <c r="O53" s="1" t="s">
        <v>1193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8.75" x14ac:dyDescent="0.25">
      <c r="A54" s="6">
        <f t="shared" si="2"/>
        <v>0.5</v>
      </c>
      <c r="B54" s="7" t="str">
        <f t="array" aca="1" ref="B54" ca="1">OFFSET(C54,,MATCH(TRUE,C54:AI54&lt;&gt;"",0)-1)</f>
        <v xml:space="preserve"> Remote Diagnostic Service do acesso remoto (ReDiS)</v>
      </c>
      <c r="D54" s="1" t="s">
        <v>946</v>
      </c>
      <c r="E54" s="1" t="s">
        <v>946</v>
      </c>
      <c r="K54" s="1" t="s">
        <v>1060</v>
      </c>
      <c r="M54" s="1" t="s">
        <v>1060</v>
      </c>
      <c r="O54" s="1" t="s">
        <v>1194</v>
      </c>
      <c r="P54" s="1" t="s">
        <v>1194</v>
      </c>
      <c r="Q54" s="1" t="s">
        <v>1194</v>
      </c>
      <c r="R54" s="1" t="s">
        <v>1194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8.75" x14ac:dyDescent="0.25">
      <c r="A55" s="6">
        <f t="shared" si="2"/>
        <v>1</v>
      </c>
      <c r="B55" s="7" t="str">
        <f t="array" aca="1" ref="B55" ca="1">OFFSET(C55,,MATCH(TRUE,C55:AI55&lt;&gt;"",0)-1)</f>
        <v xml:space="preserve"> Dispositivos de aviso</v>
      </c>
      <c r="C55" s="1" t="s">
        <v>801</v>
      </c>
      <c r="D55" s="1" t="s">
        <v>801</v>
      </c>
      <c r="E55" s="1" t="s">
        <v>801</v>
      </c>
      <c r="F55" s="1" t="s">
        <v>801</v>
      </c>
      <c r="G55" s="1" t="s">
        <v>801</v>
      </c>
      <c r="H55" s="1" t="s">
        <v>801</v>
      </c>
      <c r="I55" s="1" t="s">
        <v>801</v>
      </c>
      <c r="J55" s="1" t="s">
        <v>801</v>
      </c>
      <c r="K55" s="1" t="s">
        <v>1061</v>
      </c>
      <c r="L55" s="1" t="s">
        <v>1061</v>
      </c>
      <c r="M55" s="1" t="s">
        <v>1061</v>
      </c>
      <c r="N55" s="1" t="s">
        <v>1136</v>
      </c>
      <c r="O55" s="1" t="s">
        <v>801</v>
      </c>
      <c r="P55" s="1" t="s">
        <v>801</v>
      </c>
      <c r="Q55" s="1" t="s">
        <v>801</v>
      </c>
      <c r="R55" s="1" t="s">
        <v>801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8.75" x14ac:dyDescent="0.25">
      <c r="A56" s="6">
        <f t="shared" si="2"/>
        <v>0.4375</v>
      </c>
      <c r="B56" s="7" t="str">
        <f t="array" aca="1" ref="B56" ca="1">OFFSET(C56,,MATCH(TRUE,C56:AI56&lt;&gt;"",0)-1)</f>
        <v xml:space="preserve"> Tecnologia de medição, controle e regulação</v>
      </c>
      <c r="D56" s="1" t="s">
        <v>947</v>
      </c>
      <c r="E56" s="1" t="s">
        <v>959</v>
      </c>
      <c r="H56" s="1" t="s">
        <v>835</v>
      </c>
      <c r="I56" s="1" t="s">
        <v>959</v>
      </c>
      <c r="J56" s="1" t="s">
        <v>959</v>
      </c>
      <c r="K56" s="1" t="s">
        <v>1062</v>
      </c>
      <c r="N56" s="1" t="s">
        <v>1062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8.75" x14ac:dyDescent="0.25">
      <c r="A57" s="6">
        <f t="shared" si="2"/>
        <v>0.4375</v>
      </c>
      <c r="B57" s="7" t="str">
        <f t="array" aca="1" ref="B57" ca="1">OFFSET(C57,,MATCH(TRUE,C57:AI57&lt;&gt;"",0)-1)</f>
        <v xml:space="preserve"> Quadro elétrico</v>
      </c>
      <c r="D57" s="1" t="s">
        <v>948</v>
      </c>
      <c r="E57" s="1" t="s">
        <v>960</v>
      </c>
      <c r="H57" s="1" t="s">
        <v>836</v>
      </c>
      <c r="I57" s="1" t="s">
        <v>836</v>
      </c>
      <c r="J57" s="1" t="s">
        <v>836</v>
      </c>
      <c r="K57" s="1" t="s">
        <v>1063</v>
      </c>
      <c r="N57" s="1" t="s">
        <v>1137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8.75" x14ac:dyDescent="0.25">
      <c r="A58" s="6">
        <f t="shared" si="2"/>
        <v>1</v>
      </c>
      <c r="B58" s="16" t="str">
        <f t="array" aca="1" ref="B58" ca="1">OFFSET(C58,,MATCH(TRUE,C58:AI58&lt;&gt;"",0)-1)</f>
        <v xml:space="preserve"> Montagem</v>
      </c>
      <c r="C58" s="17" t="s">
        <v>837</v>
      </c>
      <c r="D58" s="17" t="s">
        <v>837</v>
      </c>
      <c r="E58" s="17" t="s">
        <v>837</v>
      </c>
      <c r="F58" s="17" t="s">
        <v>837</v>
      </c>
      <c r="G58" s="17" t="s">
        <v>837</v>
      </c>
      <c r="H58" s="17" t="s">
        <v>837</v>
      </c>
      <c r="I58" s="17" t="s">
        <v>837</v>
      </c>
      <c r="J58" s="17" t="s">
        <v>837</v>
      </c>
      <c r="K58" s="17" t="s">
        <v>1064</v>
      </c>
      <c r="L58" s="17" t="s">
        <v>1064</v>
      </c>
      <c r="M58" s="17" t="s">
        <v>1064</v>
      </c>
      <c r="N58" s="17" t="s">
        <v>1064</v>
      </c>
      <c r="O58" s="17" t="s">
        <v>1195</v>
      </c>
      <c r="P58" s="17" t="s">
        <v>1195</v>
      </c>
      <c r="Q58" s="17" t="s">
        <v>1195</v>
      </c>
      <c r="R58" s="17" t="s">
        <v>1195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8.75" x14ac:dyDescent="0.25">
      <c r="A59" s="6">
        <f t="shared" si="2"/>
        <v>1</v>
      </c>
      <c r="B59" s="7" t="str">
        <f t="array" aca="1" ref="B59" ca="1">OFFSET(C59,,MATCH(TRUE,C59:AI59&lt;&gt;"",0)-1)</f>
        <v xml:space="preserve"> Avisos de segurança</v>
      </c>
      <c r="C59" s="1" t="s">
        <v>883</v>
      </c>
      <c r="D59" s="1" t="s">
        <v>883</v>
      </c>
      <c r="E59" s="1" t="s">
        <v>883</v>
      </c>
      <c r="F59" s="1" t="s">
        <v>883</v>
      </c>
      <c r="G59" s="1" t="s">
        <v>846</v>
      </c>
      <c r="H59" s="1" t="s">
        <v>846</v>
      </c>
      <c r="I59" s="1" t="s">
        <v>883</v>
      </c>
      <c r="J59" s="1" t="s">
        <v>883</v>
      </c>
      <c r="K59" s="1" t="s">
        <v>1065</v>
      </c>
      <c r="L59" s="1" t="s">
        <v>1065</v>
      </c>
      <c r="M59" s="1" t="s">
        <v>1065</v>
      </c>
      <c r="N59" s="1" t="s">
        <v>1065</v>
      </c>
      <c r="O59" s="1" t="s">
        <v>1196</v>
      </c>
      <c r="P59" s="1" t="s">
        <v>1196</v>
      </c>
      <c r="Q59" s="1" t="s">
        <v>1196</v>
      </c>
      <c r="R59" s="1" t="s">
        <v>1196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8.75" x14ac:dyDescent="0.25">
      <c r="A60" s="6">
        <f t="shared" si="2"/>
        <v>1</v>
      </c>
      <c r="B60" s="7" t="str">
        <f t="array" aca="1" ref="B60" ca="1">OFFSET(C60,,MATCH(TRUE,C60:AI60&lt;&gt;"",0)-1)</f>
        <v xml:space="preserve"> Verificar o volume de fornecimento e executar a inspeção de entrega</v>
      </c>
      <c r="C60" s="1" t="s">
        <v>838</v>
      </c>
      <c r="D60" s="1" t="s">
        <v>838</v>
      </c>
      <c r="E60" s="1" t="s">
        <v>838</v>
      </c>
      <c r="F60" s="1" t="s">
        <v>838</v>
      </c>
      <c r="G60" s="1" t="s">
        <v>838</v>
      </c>
      <c r="H60" s="1" t="s">
        <v>838</v>
      </c>
      <c r="I60" s="1" t="s">
        <v>838</v>
      </c>
      <c r="J60" s="1" t="s">
        <v>838</v>
      </c>
      <c r="K60" s="1" t="s">
        <v>1066</v>
      </c>
      <c r="L60" s="1" t="s">
        <v>1066</v>
      </c>
      <c r="M60" s="1" t="s">
        <v>1066</v>
      </c>
      <c r="N60" s="1" t="s">
        <v>1138</v>
      </c>
      <c r="O60" s="1" t="s">
        <v>1197</v>
      </c>
      <c r="P60" s="1" t="s">
        <v>1197</v>
      </c>
      <c r="Q60" s="1" t="s">
        <v>1197</v>
      </c>
      <c r="R60" s="1" t="s">
        <v>1197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8.75" x14ac:dyDescent="0.25">
      <c r="A61" s="6">
        <f t="shared" si="2"/>
        <v>1</v>
      </c>
      <c r="B61" s="7" t="str">
        <f t="array" aca="1" ref="B61" ca="1">OFFSET(C61,,MATCH(TRUE,C61:AI61&lt;&gt;"",0)-1)</f>
        <v xml:space="preserve"> Transportador</v>
      </c>
      <c r="C61" s="1" t="s">
        <v>916</v>
      </c>
      <c r="D61" s="1" t="s">
        <v>916</v>
      </c>
      <c r="E61" s="1" t="s">
        <v>916</v>
      </c>
      <c r="F61" s="1" t="s">
        <v>916</v>
      </c>
      <c r="G61" s="1" t="s">
        <v>805</v>
      </c>
      <c r="H61" s="1" t="s">
        <v>805</v>
      </c>
      <c r="I61" s="1" t="s">
        <v>805</v>
      </c>
      <c r="J61" s="1" t="s">
        <v>805</v>
      </c>
      <c r="K61" s="1" t="s">
        <v>1067</v>
      </c>
      <c r="L61" s="1" t="s">
        <v>1067</v>
      </c>
      <c r="M61" s="1" t="s">
        <v>1067</v>
      </c>
      <c r="N61" s="1" t="s">
        <v>1067</v>
      </c>
      <c r="O61" s="1" t="s">
        <v>805</v>
      </c>
      <c r="P61" s="1" t="s">
        <v>805</v>
      </c>
      <c r="Q61" s="1" t="s">
        <v>805</v>
      </c>
      <c r="R61" s="1" t="s">
        <v>805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8.75" x14ac:dyDescent="0.25">
      <c r="A62" s="6">
        <f t="shared" si="2"/>
        <v>1</v>
      </c>
      <c r="B62" s="7" t="str">
        <f t="array" aca="1" ref="B62" ca="1">OFFSET(C62,,MATCH(TRUE,C62:AI62&lt;&gt;"",0)-1)</f>
        <v xml:space="preserve"> Instalação</v>
      </c>
      <c r="C62" s="1" t="s">
        <v>917</v>
      </c>
      <c r="D62" s="1" t="s">
        <v>917</v>
      </c>
      <c r="E62" s="1" t="s">
        <v>917</v>
      </c>
      <c r="F62" s="1" t="s">
        <v>917</v>
      </c>
      <c r="G62" s="1" t="s">
        <v>917</v>
      </c>
      <c r="H62" s="1" t="s">
        <v>917</v>
      </c>
      <c r="I62" s="1" t="s">
        <v>917</v>
      </c>
      <c r="J62" s="1" t="s">
        <v>917</v>
      </c>
      <c r="K62" s="1" t="s">
        <v>895</v>
      </c>
      <c r="L62" s="1" t="s">
        <v>895</v>
      </c>
      <c r="M62" s="1" t="s">
        <v>895</v>
      </c>
      <c r="N62" s="1" t="s">
        <v>1068</v>
      </c>
      <c r="O62" s="1" t="s">
        <v>1198</v>
      </c>
      <c r="P62" s="1" t="s">
        <v>1198</v>
      </c>
      <c r="Q62" s="1" t="s">
        <v>1198</v>
      </c>
      <c r="R62" s="1" t="s">
        <v>1198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8.75" x14ac:dyDescent="0.25">
      <c r="A63" s="6">
        <f t="shared" si="2"/>
        <v>1</v>
      </c>
      <c r="B63" s="7" t="str">
        <f t="array" aca="1" ref="B63" ca="1">OFFSET(C63,,MATCH(TRUE,C63:AI63&lt;&gt;"",0)-1)</f>
        <v xml:space="preserve"> Montar</v>
      </c>
      <c r="C63" s="1" t="s">
        <v>802</v>
      </c>
      <c r="D63" s="1" t="s">
        <v>802</v>
      </c>
      <c r="E63" s="1" t="s">
        <v>802</v>
      </c>
      <c r="F63" s="1" t="s">
        <v>802</v>
      </c>
      <c r="G63" s="1" t="s">
        <v>802</v>
      </c>
      <c r="H63" s="1" t="s">
        <v>802</v>
      </c>
      <c r="I63" s="1" t="s">
        <v>802</v>
      </c>
      <c r="J63" s="1" t="s">
        <v>802</v>
      </c>
      <c r="K63" s="1" t="s">
        <v>1068</v>
      </c>
      <c r="L63" s="1" t="s">
        <v>1068</v>
      </c>
      <c r="M63" s="1" t="s">
        <v>1068</v>
      </c>
      <c r="N63" s="1" t="s">
        <v>1068</v>
      </c>
      <c r="O63" s="1" t="s">
        <v>802</v>
      </c>
      <c r="P63" s="1" t="s">
        <v>802</v>
      </c>
      <c r="Q63" s="1" t="s">
        <v>802</v>
      </c>
      <c r="R63" s="1" t="s">
        <v>802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8.75" x14ac:dyDescent="0.25">
      <c r="A64" s="6">
        <f t="shared" si="2"/>
        <v>1</v>
      </c>
      <c r="B64" s="7" t="str">
        <f t="array" aca="1" ref="B64" ca="1">OFFSET(C64,,MATCH(TRUE,C64:AI64&lt;&gt;"",0)-1)</f>
        <v xml:space="preserve"> Ligar</v>
      </c>
      <c r="C64" s="1" t="s">
        <v>839</v>
      </c>
      <c r="D64" s="1" t="s">
        <v>839</v>
      </c>
      <c r="E64" s="1" t="s">
        <v>839</v>
      </c>
      <c r="F64" s="1" t="s">
        <v>839</v>
      </c>
      <c r="G64" s="1" t="s">
        <v>839</v>
      </c>
      <c r="H64" s="1" t="s">
        <v>839</v>
      </c>
      <c r="I64" s="1" t="s">
        <v>839</v>
      </c>
      <c r="J64" s="1" t="s">
        <v>839</v>
      </c>
      <c r="K64" s="1" t="s">
        <v>1069</v>
      </c>
      <c r="L64" s="1" t="s">
        <v>1069</v>
      </c>
      <c r="M64" s="1" t="s">
        <v>1069</v>
      </c>
      <c r="N64" s="1" t="s">
        <v>1139</v>
      </c>
      <c r="O64" s="1" t="s">
        <v>1199</v>
      </c>
      <c r="P64" s="1" t="s">
        <v>1199</v>
      </c>
      <c r="Q64" s="1" t="s">
        <v>1199</v>
      </c>
      <c r="R64" s="1" t="s">
        <v>1199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8.75" x14ac:dyDescent="0.25">
      <c r="A65" s="6">
        <f t="shared" si="2"/>
        <v>1</v>
      </c>
      <c r="B65" s="7" t="str">
        <f t="array" aca="1" ref="B65" ca="1">OFFSET(C65,,MATCH(TRUE,C65:AI65&lt;&gt;"",0)-1)</f>
        <v xml:space="preserve"> Colocar em funcionamento</v>
      </c>
      <c r="C65" s="1" t="s">
        <v>840</v>
      </c>
      <c r="D65" s="1" t="s">
        <v>840</v>
      </c>
      <c r="E65" s="1" t="s">
        <v>840</v>
      </c>
      <c r="F65" s="1" t="s">
        <v>840</v>
      </c>
      <c r="G65" s="1" t="s">
        <v>840</v>
      </c>
      <c r="H65" s="1" t="s">
        <v>840</v>
      </c>
      <c r="I65" s="1" t="s">
        <v>840</v>
      </c>
      <c r="J65" s="1" t="s">
        <v>840</v>
      </c>
      <c r="K65" s="1" t="s">
        <v>1070</v>
      </c>
      <c r="L65" s="1" t="s">
        <v>1070</v>
      </c>
      <c r="M65" s="1" t="s">
        <v>1070</v>
      </c>
      <c r="N65" s="1" t="s">
        <v>1070</v>
      </c>
      <c r="O65" s="1" t="s">
        <v>1200</v>
      </c>
      <c r="P65" s="1" t="s">
        <v>1200</v>
      </c>
      <c r="Q65" s="1" t="s">
        <v>1200</v>
      </c>
      <c r="R65" s="1" t="s">
        <v>1200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8.75" x14ac:dyDescent="0.25">
      <c r="A66" s="6">
        <f t="shared" si="2"/>
        <v>1</v>
      </c>
      <c r="B66" s="7" t="str">
        <f t="array" aca="1" ref="B66" ca="1">OFFSET(C66,,MATCH(TRUE,C66:AI66&lt;&gt;"",0)-1)</f>
        <v xml:space="preserve"> Desligar</v>
      </c>
      <c r="C66" s="1" t="s">
        <v>881</v>
      </c>
      <c r="D66" s="1" t="s">
        <v>881</v>
      </c>
      <c r="E66" s="1" t="s">
        <v>881</v>
      </c>
      <c r="F66" s="1" t="s">
        <v>881</v>
      </c>
      <c r="G66" s="1" t="s">
        <v>841</v>
      </c>
      <c r="H66" s="1" t="s">
        <v>841</v>
      </c>
      <c r="I66" s="1" t="s">
        <v>881</v>
      </c>
      <c r="J66" s="1" t="s">
        <v>881</v>
      </c>
      <c r="K66" s="1" t="s">
        <v>1071</v>
      </c>
      <c r="L66" s="1" t="s">
        <v>1071</v>
      </c>
      <c r="M66" s="1" t="s">
        <v>1071</v>
      </c>
      <c r="N66" s="1" t="s">
        <v>1071</v>
      </c>
      <c r="O66" s="1" t="s">
        <v>1201</v>
      </c>
      <c r="P66" s="1" t="s">
        <v>1201</v>
      </c>
      <c r="Q66" s="1" t="s">
        <v>1201</v>
      </c>
      <c r="R66" s="1" t="s">
        <v>1201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8.75" x14ac:dyDescent="0.25">
      <c r="A67" s="6">
        <f t="shared" si="2"/>
        <v>1</v>
      </c>
      <c r="B67" s="7" t="str">
        <f t="array" aca="1" ref="B67" ca="1">OFFSET(C67,,MATCH(TRUE,C67:AI67&lt;&gt;"",0)-1)</f>
        <v xml:space="preserve"> Armazenamento</v>
      </c>
      <c r="C67" s="1" t="s">
        <v>842</v>
      </c>
      <c r="D67" s="1" t="s">
        <v>842</v>
      </c>
      <c r="E67" s="1" t="s">
        <v>842</v>
      </c>
      <c r="F67" s="1" t="s">
        <v>842</v>
      </c>
      <c r="G67" s="1" t="s">
        <v>842</v>
      </c>
      <c r="H67" s="1" t="s">
        <v>842</v>
      </c>
      <c r="I67" s="1" t="s">
        <v>842</v>
      </c>
      <c r="J67" s="1" t="s">
        <v>842</v>
      </c>
      <c r="K67" s="1" t="s">
        <v>1072</v>
      </c>
      <c r="L67" s="1" t="s">
        <v>1072</v>
      </c>
      <c r="M67" s="1" t="s">
        <v>1072</v>
      </c>
      <c r="N67" s="1" t="s">
        <v>1072</v>
      </c>
      <c r="O67" s="1" t="s">
        <v>1202</v>
      </c>
      <c r="P67" s="1" t="s">
        <v>1202</v>
      </c>
      <c r="Q67" s="1" t="s">
        <v>1202</v>
      </c>
      <c r="R67" s="1" t="s">
        <v>1202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8.75" x14ac:dyDescent="0.25">
      <c r="A68" s="6">
        <f t="shared" si="2"/>
        <v>1</v>
      </c>
      <c r="B68" s="7" t="str">
        <f t="array" aca="1" ref="B68" ca="1">OFFSET(C68,,MATCH(TRUE,C68:AI68&lt;&gt;"",0)-1)</f>
        <v xml:space="preserve"> Colocar novamente em funcionamento</v>
      </c>
      <c r="C68" s="1" t="s">
        <v>843</v>
      </c>
      <c r="D68" s="1" t="s">
        <v>843</v>
      </c>
      <c r="E68" s="1" t="s">
        <v>843</v>
      </c>
      <c r="F68" s="1" t="s">
        <v>843</v>
      </c>
      <c r="G68" s="1" t="s">
        <v>843</v>
      </c>
      <c r="H68" s="1" t="s">
        <v>843</v>
      </c>
      <c r="I68" s="1" t="s">
        <v>843</v>
      </c>
      <c r="J68" s="1" t="s">
        <v>843</v>
      </c>
      <c r="K68" s="1" t="s">
        <v>1073</v>
      </c>
      <c r="L68" s="1" t="s">
        <v>1073</v>
      </c>
      <c r="M68" s="1" t="s">
        <v>1073</v>
      </c>
      <c r="N68" s="1" t="s">
        <v>1073</v>
      </c>
      <c r="O68" s="1" t="s">
        <v>1203</v>
      </c>
      <c r="P68" s="1" t="s">
        <v>1203</v>
      </c>
      <c r="Q68" s="1" t="s">
        <v>1203</v>
      </c>
      <c r="R68" s="1" t="s">
        <v>1203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8.75" x14ac:dyDescent="0.25">
      <c r="A69" s="6">
        <f t="shared" si="2"/>
        <v>1</v>
      </c>
      <c r="B69" s="7" t="str">
        <f t="array" aca="1" ref="B69" ca="1">OFFSET(C69,,MATCH(TRUE,C69:AI69&lt;&gt;"",0)-1)</f>
        <v xml:space="preserve"> Descarte</v>
      </c>
      <c r="C69" s="1" t="s">
        <v>882</v>
      </c>
      <c r="D69" s="1" t="s">
        <v>882</v>
      </c>
      <c r="E69" s="1" t="s">
        <v>882</v>
      </c>
      <c r="F69" s="1" t="s">
        <v>882</v>
      </c>
      <c r="G69" s="1" t="s">
        <v>844</v>
      </c>
      <c r="H69" s="1" t="s">
        <v>844</v>
      </c>
      <c r="I69" s="1" t="s">
        <v>882</v>
      </c>
      <c r="J69" s="1" t="s">
        <v>882</v>
      </c>
      <c r="K69" s="1" t="s">
        <v>1074</v>
      </c>
      <c r="L69" s="1" t="s">
        <v>1074</v>
      </c>
      <c r="M69" s="1" t="s">
        <v>1074</v>
      </c>
      <c r="N69" s="1" t="s">
        <v>1074</v>
      </c>
      <c r="O69" s="1" t="s">
        <v>1204</v>
      </c>
      <c r="P69" s="1" t="s">
        <v>1204</v>
      </c>
      <c r="Q69" s="1" t="s">
        <v>1204</v>
      </c>
      <c r="R69" s="1" t="s">
        <v>1204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8.75" x14ac:dyDescent="0.25">
      <c r="A70" s="6">
        <f t="shared" si="2"/>
        <v>1</v>
      </c>
      <c r="B70" s="16" t="str">
        <f t="array" aca="1" ref="B70" ca="1">OFFSET(C70,,MATCH(TRUE,C70:AI70&lt;&gt;"",0)-1)</f>
        <v xml:space="preserve"> Operação</v>
      </c>
      <c r="C70" s="17" t="s">
        <v>845</v>
      </c>
      <c r="D70" s="17" t="s">
        <v>845</v>
      </c>
      <c r="E70" s="17" t="s">
        <v>845</v>
      </c>
      <c r="F70" s="17" t="s">
        <v>845</v>
      </c>
      <c r="G70" s="17" t="s">
        <v>845</v>
      </c>
      <c r="H70" s="17" t="s">
        <v>845</v>
      </c>
      <c r="I70" s="17" t="s">
        <v>845</v>
      </c>
      <c r="J70" s="17" t="s">
        <v>845</v>
      </c>
      <c r="K70" s="17" t="s">
        <v>1075</v>
      </c>
      <c r="L70" s="17" t="s">
        <v>1075</v>
      </c>
      <c r="M70" s="17" t="s">
        <v>1075</v>
      </c>
      <c r="N70" s="17" t="s">
        <v>1075</v>
      </c>
      <c r="O70" s="17" t="s">
        <v>1205</v>
      </c>
      <c r="P70" s="17" t="s">
        <v>1205</v>
      </c>
      <c r="Q70" s="17" t="s">
        <v>1205</v>
      </c>
      <c r="R70" s="17" t="s">
        <v>1205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8.75" x14ac:dyDescent="0.25">
      <c r="A71" s="6">
        <f t="shared" ref="A71:A131" si="3">(1-COUNTBLANK(C71:R71)/COLUMNS(C71:R71))</f>
        <v>1</v>
      </c>
      <c r="B71" s="7" t="str">
        <f t="array" aca="1" ref="B71" ca="1">OFFSET(C71,,MATCH(TRUE,C71:AI71&lt;&gt;"",0)-1)</f>
        <v xml:space="preserve"> Avisos de segurança</v>
      </c>
      <c r="C71" s="1" t="s">
        <v>883</v>
      </c>
      <c r="D71" s="1" t="s">
        <v>883</v>
      </c>
      <c r="E71" s="1" t="s">
        <v>883</v>
      </c>
      <c r="F71" s="1" t="s">
        <v>883</v>
      </c>
      <c r="G71" s="1" t="s">
        <v>846</v>
      </c>
      <c r="H71" s="1" t="s">
        <v>846</v>
      </c>
      <c r="I71" s="1" t="s">
        <v>883</v>
      </c>
      <c r="J71" s="1" t="s">
        <v>883</v>
      </c>
      <c r="K71" s="1" t="s">
        <v>1065</v>
      </c>
      <c r="L71" s="1" t="s">
        <v>1065</v>
      </c>
      <c r="M71" s="1" t="s">
        <v>1065</v>
      </c>
      <c r="N71" s="1" t="s">
        <v>1065</v>
      </c>
      <c r="O71" s="1" t="s">
        <v>1196</v>
      </c>
      <c r="P71" s="1" t="s">
        <v>1196</v>
      </c>
      <c r="Q71" s="1" t="s">
        <v>1196</v>
      </c>
      <c r="R71" s="1" t="s">
        <v>1196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8.75" x14ac:dyDescent="0.25">
      <c r="A72" s="6">
        <f t="shared" si="3"/>
        <v>0.8125</v>
      </c>
      <c r="B72" s="7" t="str">
        <f t="array" aca="1" ref="B72" ca="1">OFFSET(C72,,MATCH(TRUE,C72:AI72&lt;&gt;"",0)-1)</f>
        <v xml:space="preserve"> Dispositivos de proteção</v>
      </c>
      <c r="D72" s="1" t="s">
        <v>824</v>
      </c>
      <c r="E72" s="1" t="s">
        <v>824</v>
      </c>
      <c r="F72" s="1" t="s">
        <v>824</v>
      </c>
      <c r="G72" s="1" t="s">
        <v>824</v>
      </c>
      <c r="H72" s="1" t="s">
        <v>824</v>
      </c>
      <c r="I72" s="1" t="s">
        <v>824</v>
      </c>
      <c r="J72" s="1" t="s">
        <v>824</v>
      </c>
      <c r="K72" s="1" t="s">
        <v>1038</v>
      </c>
      <c r="M72" s="1" t="s">
        <v>1038</v>
      </c>
      <c r="N72" s="1" t="s">
        <v>1038</v>
      </c>
      <c r="O72" s="1" t="s">
        <v>1174</v>
      </c>
      <c r="P72" s="1" t="s">
        <v>1174</v>
      </c>
      <c r="R72" s="1" t="s">
        <v>1174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8.75" x14ac:dyDescent="0.25">
      <c r="A73" s="6">
        <f t="shared" si="3"/>
        <v>0.8125</v>
      </c>
      <c r="B73" s="7" t="str">
        <f t="array" aca="1" ref="B73" ca="1">OFFSET(C73,,MATCH(TRUE,C73:AI73&lt;&gt;"",0)-1)</f>
        <v xml:space="preserve"> Botão de parada de emergência</v>
      </c>
      <c r="D73" s="1" t="s">
        <v>937</v>
      </c>
      <c r="E73" s="1" t="s">
        <v>937</v>
      </c>
      <c r="F73" s="1" t="s">
        <v>937</v>
      </c>
      <c r="G73" s="1" t="s">
        <v>825</v>
      </c>
      <c r="H73" s="1" t="s">
        <v>825</v>
      </c>
      <c r="I73" s="1" t="s">
        <v>937</v>
      </c>
      <c r="J73" s="1" t="s">
        <v>937</v>
      </c>
      <c r="K73" s="1" t="s">
        <v>1039</v>
      </c>
      <c r="M73" s="1" t="s">
        <v>1039</v>
      </c>
      <c r="N73" s="1" t="s">
        <v>1039</v>
      </c>
      <c r="O73" s="1" t="s">
        <v>1175</v>
      </c>
      <c r="P73" s="1" t="s">
        <v>1175</v>
      </c>
      <c r="R73" s="1" t="s">
        <v>1175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8.75" x14ac:dyDescent="0.25">
      <c r="A74" s="6">
        <f t="shared" si="3"/>
        <v>1</v>
      </c>
      <c r="B74" s="7" t="str">
        <f t="array" aca="1" ref="B74" ca="1">OFFSET(C74,,MATCH(TRUE,C74:AI74&lt;&gt;"",0)-1)</f>
        <v xml:space="preserve"> Dispositivos de comando</v>
      </c>
      <c r="C74" s="1" t="s">
        <v>847</v>
      </c>
      <c r="D74" s="1" t="s">
        <v>847</v>
      </c>
      <c r="E74" s="1" t="s">
        <v>847</v>
      </c>
      <c r="F74" s="1" t="s">
        <v>847</v>
      </c>
      <c r="G74" s="1" t="s">
        <v>847</v>
      </c>
      <c r="H74" s="1" t="s">
        <v>847</v>
      </c>
      <c r="I74" s="1" t="s">
        <v>847</v>
      </c>
      <c r="J74" s="1" t="s">
        <v>847</v>
      </c>
      <c r="K74" s="1" t="s">
        <v>1057</v>
      </c>
      <c r="L74" s="1" t="s">
        <v>1057</v>
      </c>
      <c r="M74" s="1" t="s">
        <v>1057</v>
      </c>
      <c r="N74" s="1" t="s">
        <v>1057</v>
      </c>
      <c r="O74" s="1" t="s">
        <v>1191</v>
      </c>
      <c r="P74" s="1" t="s">
        <v>1191</v>
      </c>
      <c r="Q74" s="1" t="s">
        <v>1191</v>
      </c>
      <c r="R74" s="1" t="s">
        <v>1191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8.75" x14ac:dyDescent="0.25">
      <c r="A75" s="6">
        <f t="shared" si="3"/>
        <v>0.4375</v>
      </c>
      <c r="B75" s="7" t="str">
        <f t="array" aca="1" ref="B75" ca="1">OFFSET(C75,,MATCH(TRUE,C75:AI75&lt;&gt;"",0)-1)</f>
        <v xml:space="preserve"> Interruptor de chave Remote Diagnostic Service do acesso remoto [ReDiS]</v>
      </c>
      <c r="D75" s="1" t="s">
        <v>949</v>
      </c>
      <c r="E75" s="1" t="s">
        <v>949</v>
      </c>
      <c r="M75" s="1" t="s">
        <v>1121</v>
      </c>
      <c r="O75" s="1" t="s">
        <v>1206</v>
      </c>
      <c r="P75" s="1" t="s">
        <v>1261</v>
      </c>
      <c r="Q75" s="1" t="s">
        <v>1261</v>
      </c>
      <c r="R75" s="1" t="s">
        <v>1261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8.75" x14ac:dyDescent="0.25">
      <c r="A76" s="6">
        <f t="shared" si="3"/>
        <v>0.1875</v>
      </c>
      <c r="B76" s="7" t="str">
        <f t="array" aca="1" ref="B76" ca="1">OFFSET(C76,,MATCH(TRUE,C76:AI76&lt;&gt;"",0)-1)</f>
        <v xml:space="preserve"> Painel de controlo "R</v>
      </c>
      <c r="H76" s="1" t="s">
        <v>991</v>
      </c>
      <c r="I76" s="1" t="s">
        <v>1009</v>
      </c>
      <c r="J76" s="1" t="s">
        <v>1016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8.75" x14ac:dyDescent="0.25">
      <c r="A77" s="6">
        <f t="shared" si="3"/>
        <v>6.25E-2</v>
      </c>
      <c r="B77" s="7" t="str">
        <f t="array" aca="1" ref="B77" ca="1">OFFSET(C77,,MATCH(TRUE,C77:AI77&lt;&gt;"",0)-1)</f>
        <v xml:space="preserve"> Interface gráfica de utilizador</v>
      </c>
      <c r="H77" s="1" t="s">
        <v>834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8.75" x14ac:dyDescent="0.25">
      <c r="A78" s="6">
        <f t="shared" si="3"/>
        <v>0.1875</v>
      </c>
      <c r="B78" s="7" t="str">
        <f t="array" aca="1" ref="B78" ca="1">OFFSET(C78,,MATCH(TRUE,C78:AI78&lt;&gt;"",0)-1)</f>
        <v xml:space="preserve"> Elemento de controlo "Disparador remoto R</v>
      </c>
      <c r="H78" s="1" t="s">
        <v>992</v>
      </c>
      <c r="I78" s="1" t="s">
        <v>1010</v>
      </c>
      <c r="J78" s="1" t="s">
        <v>1010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8.75" x14ac:dyDescent="0.25">
      <c r="A79" s="6">
        <f t="shared" si="3"/>
        <v>0.5</v>
      </c>
      <c r="B79" s="7" t="str">
        <f t="array" aca="1" ref="B79" ca="1">OFFSET(C79,,MATCH(TRUE,C79:AI79&lt;&gt;"",0)-1)</f>
        <v xml:space="preserve"> Elemento de comando "Confirmar falha"</v>
      </c>
      <c r="D79" s="1" t="s">
        <v>950</v>
      </c>
      <c r="E79" s="1" t="s">
        <v>950</v>
      </c>
      <c r="H79" s="1" t="s">
        <v>993</v>
      </c>
      <c r="I79" s="1" t="s">
        <v>950</v>
      </c>
      <c r="J79" s="1" t="s">
        <v>950</v>
      </c>
      <c r="K79" s="1" t="s">
        <v>1076</v>
      </c>
      <c r="N79" s="1" t="s">
        <v>1141</v>
      </c>
      <c r="O79" s="1" t="s">
        <v>1207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8.75" x14ac:dyDescent="0.25">
      <c r="A80" s="6">
        <f t="shared" si="3"/>
        <v>0.1875</v>
      </c>
      <c r="B80" s="7" t="str">
        <f t="array" aca="1" ref="B80" ca="1">OFFSET(C80,,MATCH(TRUE,C80:AI80&lt;&gt;"",0)-1)</f>
        <v xml:space="preserve"> Elemento de comando "Stop/Start"</v>
      </c>
      <c r="I80" s="1" t="s">
        <v>1011</v>
      </c>
      <c r="J80" s="1" t="s">
        <v>1011</v>
      </c>
      <c r="N80" s="1" t="s">
        <v>1140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8.75" x14ac:dyDescent="0.25">
      <c r="A81" s="6">
        <f t="shared" si="3"/>
        <v>6.25E-2</v>
      </c>
      <c r="B81" s="7" t="str">
        <f t="array" aca="1" ref="B81" ca="1">OFFSET(C81,,MATCH(TRUE,C81:AI81&lt;&gt;"",0)-1)</f>
        <v xml:space="preserve"> Console "P10"</v>
      </c>
      <c r="D81" s="1" t="s">
        <v>951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8.75" x14ac:dyDescent="0.25">
      <c r="A82" s="6">
        <f t="shared" si="3"/>
        <v>6.25E-2</v>
      </c>
      <c r="B82" s="7" t="str">
        <f t="array" aca="1" ref="B82" ca="1">OFFSET(C82,,MATCH(TRUE,C82:AI82&lt;&gt;"",0)-1)</f>
        <v xml:space="preserve"> Dispositivo de comando para o distribuidor de embalagens grupadas</v>
      </c>
      <c r="D82" s="1" t="s">
        <v>952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8.75" x14ac:dyDescent="0.25">
      <c r="A83" s="6">
        <f t="shared" si="3"/>
        <v>0.75</v>
      </c>
      <c r="B83" s="7" t="str">
        <f t="array" aca="1" ref="B83" ca="1">OFFSET(C83,,MATCH(TRUE,C83:AI83&lt;&gt;"",0)-1)</f>
        <v xml:space="preserve"> Dispositivos de aviso</v>
      </c>
      <c r="D83" s="1" t="s">
        <v>801</v>
      </c>
      <c r="E83" s="1" t="s">
        <v>801</v>
      </c>
      <c r="H83" s="1" t="s">
        <v>801</v>
      </c>
      <c r="I83" s="1" t="s">
        <v>801</v>
      </c>
      <c r="J83" s="1" t="s">
        <v>801</v>
      </c>
      <c r="K83" s="1" t="s">
        <v>1061</v>
      </c>
      <c r="M83" s="1" t="s">
        <v>1061</v>
      </c>
      <c r="N83" s="1" t="s">
        <v>1136</v>
      </c>
      <c r="O83" s="1" t="s">
        <v>801</v>
      </c>
      <c r="P83" s="1" t="s">
        <v>801</v>
      </c>
      <c r="Q83" s="1" t="s">
        <v>801</v>
      </c>
      <c r="R83" s="1" t="s">
        <v>801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8.75" x14ac:dyDescent="0.25">
      <c r="A84" s="6">
        <f t="shared" si="3"/>
        <v>0.375</v>
      </c>
      <c r="B84" s="7" t="str">
        <f t="array" aca="1" ref="B84" ca="1">OFFSET(C84,,MATCH(TRUE,C84:AI84&lt;&gt;"",0)-1)</f>
        <v xml:space="preserve"> Sinalizador rotativo</v>
      </c>
      <c r="D84" s="1" t="s">
        <v>953</v>
      </c>
      <c r="H84" s="1" t="s">
        <v>994</v>
      </c>
      <c r="I84" s="1" t="s">
        <v>1012</v>
      </c>
      <c r="J84" s="1" t="s">
        <v>953</v>
      </c>
      <c r="K84" s="1" t="s">
        <v>1077</v>
      </c>
      <c r="O84" s="1" t="s">
        <v>1208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8.75" x14ac:dyDescent="0.25">
      <c r="A85" s="6">
        <f t="shared" si="3"/>
        <v>0.125</v>
      </c>
      <c r="B85" s="7" t="str">
        <f t="array" aca="1" ref="B85" ca="1">OFFSET(C85,,MATCH(TRUE,C85:AI85&lt;&gt;"",0)-1)</f>
        <v xml:space="preserve"> Luz intermitente com buzina</v>
      </c>
      <c r="H85" s="1" t="s">
        <v>995</v>
      </c>
      <c r="I85" s="1" t="s">
        <v>995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8.75" x14ac:dyDescent="0.25">
      <c r="A86" s="6">
        <f t="shared" si="3"/>
        <v>0.375</v>
      </c>
      <c r="B86" s="7" t="str">
        <f t="array" aca="1" ref="B86" ca="1">OFFSET(C86,,MATCH(TRUE,C86:AI86&lt;&gt;"",0)-1)</f>
        <v xml:space="preserve"> Sinalizador individual</v>
      </c>
      <c r="D86" s="1" t="s">
        <v>954</v>
      </c>
      <c r="E86" s="1" t="s">
        <v>961</v>
      </c>
      <c r="J86" s="1" t="s">
        <v>961</v>
      </c>
      <c r="K86" s="1" t="s">
        <v>1078</v>
      </c>
      <c r="N86" s="1" t="s">
        <v>1078</v>
      </c>
      <c r="O86" s="1" t="s">
        <v>961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8.75" x14ac:dyDescent="0.25">
      <c r="A87" s="6">
        <f t="shared" si="3"/>
        <v>0.3125</v>
      </c>
      <c r="B87" s="7" t="str">
        <f t="array" aca="1" ref="B87" ca="1">OFFSET(C87,,MATCH(TRUE,C87:AI87&lt;&gt;"",0)-1)</f>
        <v xml:space="preserve"> Buzina</v>
      </c>
      <c r="D87" s="1" t="s">
        <v>955</v>
      </c>
      <c r="E87" s="1" t="s">
        <v>955</v>
      </c>
      <c r="K87" s="1" t="s">
        <v>1079</v>
      </c>
      <c r="N87" s="1" t="s">
        <v>1079</v>
      </c>
      <c r="O87" s="1" t="s">
        <v>1209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8.75" x14ac:dyDescent="0.25">
      <c r="A88" s="6">
        <f t="shared" si="3"/>
        <v>1</v>
      </c>
      <c r="B88" s="7" t="str">
        <f t="array" aca="1" ref="B88" ca="1">OFFSET(C88,,MATCH(TRUE,C88:AI88&lt;&gt;"",0)-1)</f>
        <v xml:space="preserve"> Estabelecer prontidão operacional</v>
      </c>
      <c r="C88" s="1" t="s">
        <v>884</v>
      </c>
      <c r="D88" s="1" t="s">
        <v>884</v>
      </c>
      <c r="E88" s="1" t="s">
        <v>884</v>
      </c>
      <c r="F88" s="1" t="s">
        <v>884</v>
      </c>
      <c r="G88" s="1" t="s">
        <v>848</v>
      </c>
      <c r="H88" s="1" t="s">
        <v>996</v>
      </c>
      <c r="I88" s="1" t="s">
        <v>884</v>
      </c>
      <c r="J88" s="1" t="s">
        <v>1017</v>
      </c>
      <c r="K88" s="1" t="s">
        <v>1080</v>
      </c>
      <c r="L88" s="1" t="s">
        <v>1080</v>
      </c>
      <c r="M88" s="1" t="s">
        <v>1080</v>
      </c>
      <c r="N88" s="1" t="s">
        <v>1080</v>
      </c>
      <c r="O88" s="1" t="s">
        <v>1210</v>
      </c>
      <c r="P88" s="1" t="s">
        <v>1210</v>
      </c>
      <c r="Q88" s="1" t="s">
        <v>1210</v>
      </c>
      <c r="R88" s="1" t="s">
        <v>1210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8.75" x14ac:dyDescent="0.25">
      <c r="A89" s="6">
        <f t="shared" si="3"/>
        <v>1</v>
      </c>
      <c r="B89" s="7" t="str">
        <f t="array" aca="1" ref="B89" ca="1">OFFSET(C89,,MATCH(TRUE,C89:AI89&lt;&gt;"",0)-1)</f>
        <v xml:space="preserve"> Produção</v>
      </c>
      <c r="C89" s="1" t="s">
        <v>849</v>
      </c>
      <c r="D89" s="1" t="s">
        <v>849</v>
      </c>
      <c r="E89" s="1" t="s">
        <v>849</v>
      </c>
      <c r="F89" s="1" t="s">
        <v>849</v>
      </c>
      <c r="G89" s="1" t="s">
        <v>849</v>
      </c>
      <c r="H89" s="1" t="s">
        <v>849</v>
      </c>
      <c r="I89" s="1" t="s">
        <v>849</v>
      </c>
      <c r="J89" s="1" t="s">
        <v>849</v>
      </c>
      <c r="K89" s="1" t="s">
        <v>1081</v>
      </c>
      <c r="L89" s="1" t="s">
        <v>1081</v>
      </c>
      <c r="M89" s="1" t="s">
        <v>1081</v>
      </c>
      <c r="N89" s="1" t="s">
        <v>1081</v>
      </c>
      <c r="O89" s="1" t="s">
        <v>1211</v>
      </c>
      <c r="P89" s="1" t="s">
        <v>1211</v>
      </c>
      <c r="Q89" s="1" t="s">
        <v>1211</v>
      </c>
      <c r="R89" s="1" t="s">
        <v>1211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8.75" x14ac:dyDescent="0.25">
      <c r="A90" s="6">
        <f t="shared" si="3"/>
        <v>1</v>
      </c>
      <c r="B90" s="7" t="str">
        <f t="array" aca="1" ref="B90" ca="1">OFFSET(C90,,MATCH(TRUE,C90:AI90&lt;&gt;"",0)-1)</f>
        <v xml:space="preserve"> Avisos de segurança</v>
      </c>
      <c r="C90" s="1" t="s">
        <v>883</v>
      </c>
      <c r="D90" s="1" t="s">
        <v>883</v>
      </c>
      <c r="E90" s="1" t="s">
        <v>883</v>
      </c>
      <c r="F90" s="1" t="s">
        <v>883</v>
      </c>
      <c r="G90" s="1" t="s">
        <v>846</v>
      </c>
      <c r="H90" s="1" t="s">
        <v>846</v>
      </c>
      <c r="I90" s="1" t="s">
        <v>883</v>
      </c>
      <c r="J90" s="1" t="s">
        <v>883</v>
      </c>
      <c r="K90" s="1" t="s">
        <v>1065</v>
      </c>
      <c r="L90" s="1" t="s">
        <v>1065</v>
      </c>
      <c r="M90" s="1" t="s">
        <v>1065</v>
      </c>
      <c r="N90" s="1" t="s">
        <v>1065</v>
      </c>
      <c r="O90" s="1" t="s">
        <v>1196</v>
      </c>
      <c r="P90" s="1" t="s">
        <v>1196</v>
      </c>
      <c r="Q90" s="1" t="s">
        <v>1196</v>
      </c>
      <c r="R90" s="1" t="s">
        <v>1196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8.75" x14ac:dyDescent="0.25">
      <c r="A91" s="6">
        <f t="shared" si="3"/>
        <v>0.1875</v>
      </c>
      <c r="B91" s="7" t="str">
        <f t="array" aca="1" ref="B91" ca="1">OFFSET(C91,,MATCH(TRUE,C91:AI91&lt;&gt;"",0)-1)</f>
        <v xml:space="preserve"> Lista de pequenas intervenções</v>
      </c>
      <c r="C91" s="1" t="s">
        <v>918</v>
      </c>
      <c r="F91" s="1" t="s">
        <v>918</v>
      </c>
      <c r="G91" s="1" t="s">
        <v>918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8.75" x14ac:dyDescent="0.25">
      <c r="A92" s="6">
        <f t="shared" si="3"/>
        <v>1</v>
      </c>
      <c r="B92" s="7" t="str">
        <f t="array" aca="1" ref="B92" ca="1">OFFSET(C92,,MATCH(TRUE,C92:AI92&lt;&gt;"",0)-1)</f>
        <v xml:space="preserve"> Preparar</v>
      </c>
      <c r="C92" s="1" t="s">
        <v>803</v>
      </c>
      <c r="D92" s="1" t="s">
        <v>803</v>
      </c>
      <c r="E92" s="1" t="s">
        <v>803</v>
      </c>
      <c r="F92" s="1" t="s">
        <v>803</v>
      </c>
      <c r="G92" s="1" t="s">
        <v>885</v>
      </c>
      <c r="H92" s="1" t="s">
        <v>803</v>
      </c>
      <c r="I92" s="1" t="s">
        <v>803</v>
      </c>
      <c r="J92" s="1" t="s">
        <v>803</v>
      </c>
      <c r="K92" s="1" t="s">
        <v>1082</v>
      </c>
      <c r="L92" s="1" t="s">
        <v>1082</v>
      </c>
      <c r="M92" s="1" t="s">
        <v>1082</v>
      </c>
      <c r="N92" s="1" t="s">
        <v>1082</v>
      </c>
      <c r="O92" s="1" t="s">
        <v>803</v>
      </c>
      <c r="P92" s="1" t="s">
        <v>803</v>
      </c>
      <c r="Q92" s="1" t="s">
        <v>803</v>
      </c>
      <c r="R92" s="1" t="s">
        <v>803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8.75" x14ac:dyDescent="0.25">
      <c r="A93" s="6">
        <f t="shared" si="3"/>
        <v>1</v>
      </c>
      <c r="B93" s="7" t="str">
        <f t="array" aca="1" ref="B93" ca="1">OFFSET(C93,,MATCH(TRUE,C93:AI93&lt;&gt;"",0)-1)</f>
        <v xml:space="preserve"> Iniciar</v>
      </c>
      <c r="C93" s="1" t="s">
        <v>919</v>
      </c>
      <c r="D93" s="1" t="s">
        <v>919</v>
      </c>
      <c r="E93" s="1" t="s">
        <v>919</v>
      </c>
      <c r="F93" s="1" t="s">
        <v>919</v>
      </c>
      <c r="G93" s="1" t="s">
        <v>919</v>
      </c>
      <c r="H93" s="1" t="s">
        <v>919</v>
      </c>
      <c r="I93" s="1" t="s">
        <v>886</v>
      </c>
      <c r="J93" s="1" t="s">
        <v>919</v>
      </c>
      <c r="K93" s="1" t="s">
        <v>1083</v>
      </c>
      <c r="L93" s="1" t="s">
        <v>1083</v>
      </c>
      <c r="M93" s="1" t="s">
        <v>1083</v>
      </c>
      <c r="N93" s="1" t="s">
        <v>1142</v>
      </c>
      <c r="O93" s="1" t="s">
        <v>919</v>
      </c>
      <c r="P93" s="1" t="s">
        <v>919</v>
      </c>
      <c r="Q93" s="1" t="s">
        <v>919</v>
      </c>
      <c r="R93" s="1" t="s">
        <v>919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8.75" x14ac:dyDescent="0.25">
      <c r="A94" s="6">
        <f t="shared" si="3"/>
        <v>1</v>
      </c>
      <c r="B94" s="7" t="str">
        <f t="array" aca="1" ref="B94" ca="1">OFFSET(C94,,MATCH(TRUE,C94:AI94&lt;&gt;"",0)-1)</f>
        <v xml:space="preserve"> Monitorar</v>
      </c>
      <c r="C94" s="1" t="s">
        <v>887</v>
      </c>
      <c r="D94" s="1" t="s">
        <v>887</v>
      </c>
      <c r="E94" s="1" t="s">
        <v>887</v>
      </c>
      <c r="F94" s="1" t="s">
        <v>887</v>
      </c>
      <c r="G94" s="1" t="s">
        <v>850</v>
      </c>
      <c r="H94" s="1" t="s">
        <v>850</v>
      </c>
      <c r="I94" s="1" t="s">
        <v>887</v>
      </c>
      <c r="J94" s="1" t="s">
        <v>887</v>
      </c>
      <c r="K94" s="1" t="s">
        <v>1084</v>
      </c>
      <c r="L94" s="1" t="s">
        <v>1084</v>
      </c>
      <c r="M94" s="1" t="s">
        <v>1084</v>
      </c>
      <c r="N94" s="1" t="s">
        <v>1084</v>
      </c>
      <c r="O94" s="1" t="s">
        <v>1212</v>
      </c>
      <c r="P94" s="1" t="s">
        <v>1212</v>
      </c>
      <c r="Q94" s="1" t="s">
        <v>1212</v>
      </c>
      <c r="R94" s="1" t="s">
        <v>1344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8.75" x14ac:dyDescent="0.25">
      <c r="A95" s="6">
        <f t="shared" si="3"/>
        <v>1</v>
      </c>
      <c r="B95" s="7" t="str">
        <f t="array" aca="1" ref="B95" ca="1">OFFSET(C95,,MATCH(TRUE,C95:AI95&lt;&gt;"",0)-1)</f>
        <v xml:space="preserve"> Parar</v>
      </c>
      <c r="C95" s="1" t="s">
        <v>920</v>
      </c>
      <c r="D95" s="1" t="s">
        <v>920</v>
      </c>
      <c r="E95" s="1" t="s">
        <v>920</v>
      </c>
      <c r="F95" s="1" t="s">
        <v>920</v>
      </c>
      <c r="G95" s="1" t="s">
        <v>920</v>
      </c>
      <c r="H95" s="1" t="s">
        <v>920</v>
      </c>
      <c r="I95" s="1" t="s">
        <v>920</v>
      </c>
      <c r="J95" s="1" t="s">
        <v>920</v>
      </c>
      <c r="K95" s="1" t="s">
        <v>1085</v>
      </c>
      <c r="L95" s="1" t="s">
        <v>1085</v>
      </c>
      <c r="M95" s="1" t="s">
        <v>1085</v>
      </c>
      <c r="N95" s="1" t="s">
        <v>1085</v>
      </c>
      <c r="O95" s="1" t="s">
        <v>920</v>
      </c>
      <c r="P95" s="1" t="s">
        <v>920</v>
      </c>
      <c r="Q95" s="1" t="s">
        <v>920</v>
      </c>
      <c r="R95" s="1" t="s">
        <v>920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8.75" x14ac:dyDescent="0.25">
      <c r="A96" s="6">
        <f t="shared" si="3"/>
        <v>1</v>
      </c>
      <c r="B96" s="7" t="str">
        <f t="array" aca="1" ref="B96" ca="1">OFFSET(C96,,MATCH(TRUE,C96:AI96&lt;&gt;"",0)-1)</f>
        <v xml:space="preserve"> Retomar</v>
      </c>
      <c r="C96" s="1" t="s">
        <v>921</v>
      </c>
      <c r="D96" s="1" t="s">
        <v>921</v>
      </c>
      <c r="E96" s="1" t="s">
        <v>962</v>
      </c>
      <c r="F96" s="1" t="s">
        <v>962</v>
      </c>
      <c r="G96" s="1" t="s">
        <v>983</v>
      </c>
      <c r="H96" s="1" t="s">
        <v>983</v>
      </c>
      <c r="I96" s="1" t="s">
        <v>962</v>
      </c>
      <c r="J96" s="1" t="s">
        <v>962</v>
      </c>
      <c r="K96" s="1" t="s">
        <v>1086</v>
      </c>
      <c r="L96" s="1" t="s">
        <v>1086</v>
      </c>
      <c r="M96" s="1" t="s">
        <v>1122</v>
      </c>
      <c r="N96" s="1" t="s">
        <v>1143</v>
      </c>
      <c r="O96" s="1" t="s">
        <v>983</v>
      </c>
      <c r="P96" s="1" t="s">
        <v>983</v>
      </c>
      <c r="Q96" s="1" t="s">
        <v>983</v>
      </c>
      <c r="R96" s="1" t="s">
        <v>983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8.75" x14ac:dyDescent="0.25">
      <c r="A97" s="6">
        <f t="shared" si="3"/>
        <v>1</v>
      </c>
      <c r="B97" s="7" t="str">
        <f t="array" aca="1" ref="B97" ca="1">OFFSET(C97,,MATCH(TRUE,C97:AI97&lt;&gt;"",0)-1)</f>
        <v xml:space="preserve"> Encerrar</v>
      </c>
      <c r="C97" s="1" t="s">
        <v>922</v>
      </c>
      <c r="D97" s="1" t="s">
        <v>922</v>
      </c>
      <c r="E97" s="1" t="s">
        <v>922</v>
      </c>
      <c r="F97" s="1" t="s">
        <v>922</v>
      </c>
      <c r="G97" s="1" t="s">
        <v>984</v>
      </c>
      <c r="H97" s="1" t="s">
        <v>984</v>
      </c>
      <c r="I97" s="1" t="s">
        <v>1013</v>
      </c>
      <c r="J97" s="1" t="s">
        <v>922</v>
      </c>
      <c r="K97" s="1" t="s">
        <v>1087</v>
      </c>
      <c r="L97" s="1" t="s">
        <v>1087</v>
      </c>
      <c r="M97" s="1" t="s">
        <v>1123</v>
      </c>
      <c r="N97" s="1" t="s">
        <v>1123</v>
      </c>
      <c r="O97" s="1" t="s">
        <v>1213</v>
      </c>
      <c r="P97" s="1" t="s">
        <v>1213</v>
      </c>
      <c r="Q97" s="1" t="s">
        <v>1213</v>
      </c>
      <c r="R97" s="1" t="s">
        <v>1213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8.75" x14ac:dyDescent="0.25">
      <c r="A98" s="6">
        <f t="shared" si="3"/>
        <v>1</v>
      </c>
      <c r="B98" s="7" t="str">
        <f t="array" aca="1" ref="B98" ca="1">OFFSET(C98,,MATCH(TRUE,C98:AI98&lt;&gt;"",0)-1)</f>
        <v xml:space="preserve"> Limpeza</v>
      </c>
      <c r="C98" s="1" t="s">
        <v>851</v>
      </c>
      <c r="D98" s="1" t="s">
        <v>851</v>
      </c>
      <c r="E98" s="1" t="s">
        <v>851</v>
      </c>
      <c r="F98" s="1" t="s">
        <v>895</v>
      </c>
      <c r="G98" s="1" t="s">
        <v>985</v>
      </c>
      <c r="H98" s="1" t="s">
        <v>851</v>
      </c>
      <c r="I98" s="1" t="s">
        <v>851</v>
      </c>
      <c r="J98" s="1" t="s">
        <v>851</v>
      </c>
      <c r="K98" s="1" t="s">
        <v>1088</v>
      </c>
      <c r="L98" s="1" t="s">
        <v>1088</v>
      </c>
      <c r="M98" s="1" t="s">
        <v>1088</v>
      </c>
      <c r="N98" s="1" t="s">
        <v>1088</v>
      </c>
      <c r="O98" s="1" t="s">
        <v>1214</v>
      </c>
      <c r="P98" s="1" t="s">
        <v>1214</v>
      </c>
      <c r="Q98" s="1" t="s">
        <v>1214</v>
      </c>
      <c r="R98" s="1" t="s">
        <v>1214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8.75" x14ac:dyDescent="0.25">
      <c r="A99" s="6">
        <f t="shared" si="3"/>
        <v>1</v>
      </c>
      <c r="B99" s="7" t="str">
        <f t="array" aca="1" ref="B99" ca="1">OFFSET(C99,,MATCH(TRUE,C99:AI99&lt;&gt;"",0)-1)</f>
        <v xml:space="preserve"> Avisos de segurança</v>
      </c>
      <c r="C99" s="1" t="s">
        <v>883</v>
      </c>
      <c r="D99" s="1" t="s">
        <v>883</v>
      </c>
      <c r="E99" s="1" t="s">
        <v>883</v>
      </c>
      <c r="F99" s="1" t="s">
        <v>883</v>
      </c>
      <c r="G99" s="1" t="s">
        <v>846</v>
      </c>
      <c r="H99" s="1" t="s">
        <v>846</v>
      </c>
      <c r="I99" s="1" t="s">
        <v>883</v>
      </c>
      <c r="J99" s="1" t="s">
        <v>883</v>
      </c>
      <c r="K99" s="1" t="s">
        <v>1065</v>
      </c>
      <c r="L99" s="1" t="s">
        <v>1065</v>
      </c>
      <c r="M99" s="1" t="s">
        <v>1065</v>
      </c>
      <c r="N99" s="1" t="s">
        <v>1065</v>
      </c>
      <c r="O99" s="1" t="s">
        <v>1196</v>
      </c>
      <c r="P99" s="1" t="s">
        <v>1196</v>
      </c>
      <c r="Q99" s="1" t="s">
        <v>1196</v>
      </c>
      <c r="R99" s="1" t="s">
        <v>1196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8.75" x14ac:dyDescent="0.25">
      <c r="A100" s="6">
        <f t="shared" si="3"/>
        <v>0.875</v>
      </c>
      <c r="B100" s="7" t="str">
        <f t="array" aca="1" ref="B100" ca="1">OFFSET(C100,,MATCH(TRUE,C100:AI100&lt;&gt;"",0)-1)</f>
        <v xml:space="preserve"> Pré-requisitos para a limpeza</v>
      </c>
      <c r="C100" s="1" t="s">
        <v>923</v>
      </c>
      <c r="D100" s="1" t="s">
        <v>923</v>
      </c>
      <c r="E100" s="1" t="s">
        <v>923</v>
      </c>
      <c r="H100" s="1" t="s">
        <v>997</v>
      </c>
      <c r="I100" s="1" t="s">
        <v>923</v>
      </c>
      <c r="J100" s="1" t="s">
        <v>923</v>
      </c>
      <c r="K100" s="1" t="s">
        <v>1089</v>
      </c>
      <c r="L100" s="1" t="s">
        <v>1089</v>
      </c>
      <c r="M100" s="1" t="s">
        <v>1089</v>
      </c>
      <c r="N100" s="1" t="s">
        <v>1144</v>
      </c>
      <c r="O100" s="1" t="s">
        <v>1215</v>
      </c>
      <c r="P100" s="1" t="s">
        <v>1215</v>
      </c>
      <c r="Q100" s="1" t="s">
        <v>1215</v>
      </c>
      <c r="R100" s="1" t="s">
        <v>1215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8.75" x14ac:dyDescent="0.25">
      <c r="A101" s="6">
        <f t="shared" si="3"/>
        <v>1</v>
      </c>
      <c r="B101" s="7" t="str">
        <f t="array" aca="1" ref="B101" ca="1">OFFSET(C101,,MATCH(TRUE,C101:AI101&lt;&gt;"",0)-1)</f>
        <v xml:space="preserve"> Preparar a limpeza</v>
      </c>
      <c r="C101" s="1" t="s">
        <v>924</v>
      </c>
      <c r="D101" s="1" t="s">
        <v>924</v>
      </c>
      <c r="E101" s="1" t="s">
        <v>924</v>
      </c>
      <c r="F101" s="1" t="s">
        <v>803</v>
      </c>
      <c r="G101" s="1" t="s">
        <v>885</v>
      </c>
      <c r="H101" s="1" t="s">
        <v>924</v>
      </c>
      <c r="I101" s="1" t="s">
        <v>924</v>
      </c>
      <c r="J101" s="1" t="s">
        <v>924</v>
      </c>
      <c r="K101" s="1" t="s">
        <v>1090</v>
      </c>
      <c r="L101" s="1" t="s">
        <v>1090</v>
      </c>
      <c r="M101" s="1" t="s">
        <v>1090</v>
      </c>
      <c r="N101" s="1" t="s">
        <v>1090</v>
      </c>
      <c r="O101" s="1" t="s">
        <v>1216</v>
      </c>
      <c r="P101" s="1" t="s">
        <v>1216</v>
      </c>
      <c r="Q101" s="1" t="s">
        <v>1216</v>
      </c>
      <c r="R101" s="1" t="s">
        <v>1216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8.75" x14ac:dyDescent="0.25">
      <c r="A102" s="6">
        <f t="shared" si="3"/>
        <v>1</v>
      </c>
      <c r="B102" s="7" t="str">
        <f t="array" aca="1" ref="B102" ca="1">OFFSET(C102,,MATCH(TRUE,C102:AI102&lt;&gt;"",0)-1)</f>
        <v xml:space="preserve"> Realizar a limpeza</v>
      </c>
      <c r="C102" s="1" t="s">
        <v>925</v>
      </c>
      <c r="D102" s="1" t="s">
        <v>925</v>
      </c>
      <c r="E102" s="1" t="s">
        <v>925</v>
      </c>
      <c r="F102" s="1" t="s">
        <v>970</v>
      </c>
      <c r="G102" s="1" t="s">
        <v>869</v>
      </c>
      <c r="H102" s="1" t="s">
        <v>998</v>
      </c>
      <c r="I102" s="1" t="s">
        <v>925</v>
      </c>
      <c r="J102" s="1" t="s">
        <v>925</v>
      </c>
      <c r="K102" s="1" t="s">
        <v>1088</v>
      </c>
      <c r="L102" s="1" t="s">
        <v>1088</v>
      </c>
      <c r="M102" s="1" t="s">
        <v>1088</v>
      </c>
      <c r="N102" s="1" t="s">
        <v>1088</v>
      </c>
      <c r="O102" s="1" t="s">
        <v>1217</v>
      </c>
      <c r="P102" s="1" t="s">
        <v>1217</v>
      </c>
      <c r="Q102" s="1" t="s">
        <v>1217</v>
      </c>
      <c r="R102" s="1" t="s">
        <v>1217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8.75" x14ac:dyDescent="0.25">
      <c r="A103" s="6">
        <f t="shared" si="3"/>
        <v>0.875</v>
      </c>
      <c r="B103" s="7" t="str">
        <f t="array" aca="1" ref="B103" ca="1">OFFSET(C103,,MATCH(TRUE,C103:AI103&lt;&gt;"",0)-1)</f>
        <v xml:space="preserve"> Setup</v>
      </c>
      <c r="C103" s="1" t="s">
        <v>895</v>
      </c>
      <c r="D103" s="1" t="s">
        <v>895</v>
      </c>
      <c r="E103" s="1" t="s">
        <v>895</v>
      </c>
      <c r="H103" s="1" t="s">
        <v>804</v>
      </c>
      <c r="I103" s="1" t="s">
        <v>804</v>
      </c>
      <c r="J103" s="1" t="s">
        <v>895</v>
      </c>
      <c r="K103" s="1" t="s">
        <v>895</v>
      </c>
      <c r="L103" s="1" t="s">
        <v>895</v>
      </c>
      <c r="M103" s="1" t="s">
        <v>895</v>
      </c>
      <c r="N103" s="1" t="s">
        <v>895</v>
      </c>
      <c r="O103" s="1" t="s">
        <v>804</v>
      </c>
      <c r="P103" s="1" t="s">
        <v>804</v>
      </c>
      <c r="Q103" s="1" t="s">
        <v>804</v>
      </c>
      <c r="R103" s="1" t="s">
        <v>804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8.75" x14ac:dyDescent="0.25">
      <c r="A104" s="6">
        <f t="shared" si="3"/>
        <v>0.875</v>
      </c>
      <c r="B104" s="7" t="str">
        <f t="array" aca="1" ref="B104" ca="1">OFFSET(C104,,MATCH(TRUE,C104:AI104&lt;&gt;"",0)-1)</f>
        <v xml:space="preserve"> Avisos de segurança</v>
      </c>
      <c r="C104" s="1" t="s">
        <v>883</v>
      </c>
      <c r="D104" s="1" t="s">
        <v>883</v>
      </c>
      <c r="E104" s="1" t="s">
        <v>883</v>
      </c>
      <c r="H104" s="1" t="s">
        <v>846</v>
      </c>
      <c r="I104" s="1" t="s">
        <v>883</v>
      </c>
      <c r="J104" s="1" t="s">
        <v>883</v>
      </c>
      <c r="K104" s="1" t="s">
        <v>1065</v>
      </c>
      <c r="L104" s="1" t="s">
        <v>1065</v>
      </c>
      <c r="M104" s="1" t="s">
        <v>1065</v>
      </c>
      <c r="N104" s="1" t="s">
        <v>1065</v>
      </c>
      <c r="O104" s="1" t="s">
        <v>1196</v>
      </c>
      <c r="P104" s="1" t="s">
        <v>1196</v>
      </c>
      <c r="Q104" s="1" t="s">
        <v>1196</v>
      </c>
      <c r="R104" s="1" t="s">
        <v>1196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8.75" x14ac:dyDescent="0.25">
      <c r="A105" s="6">
        <f t="shared" si="3"/>
        <v>0.875</v>
      </c>
      <c r="B105" s="7" t="str">
        <f t="array" aca="1" ref="B105" ca="1">OFFSET(C105,,MATCH(TRUE,C105:AI105&lt;&gt;"",0)-1)</f>
        <v xml:space="preserve"> Preparar</v>
      </c>
      <c r="C105" s="1" t="s">
        <v>803</v>
      </c>
      <c r="D105" s="1" t="s">
        <v>803</v>
      </c>
      <c r="E105" s="1" t="s">
        <v>803</v>
      </c>
      <c r="H105" s="1" t="s">
        <v>803</v>
      </c>
      <c r="I105" s="1" t="s">
        <v>803</v>
      </c>
      <c r="J105" s="1" t="s">
        <v>803</v>
      </c>
      <c r="K105" s="1" t="s">
        <v>1082</v>
      </c>
      <c r="L105" s="1" t="s">
        <v>1082</v>
      </c>
      <c r="M105" s="1" t="s">
        <v>1082</v>
      </c>
      <c r="N105" s="1" t="s">
        <v>1082</v>
      </c>
      <c r="O105" s="1" t="s">
        <v>803</v>
      </c>
      <c r="P105" s="1" t="s">
        <v>803</v>
      </c>
      <c r="Q105" s="1" t="s">
        <v>803</v>
      </c>
      <c r="R105" s="1" t="s">
        <v>803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8.75" x14ac:dyDescent="0.25">
      <c r="A106" s="6">
        <f t="shared" si="3"/>
        <v>0.875</v>
      </c>
      <c r="B106" s="7" t="str">
        <f t="array" aca="1" ref="B106" ca="1">OFFSET(C106,,MATCH(TRUE,C106:AI106&lt;&gt;"",0)-1)</f>
        <v xml:space="preserve"> Executar</v>
      </c>
      <c r="C106" s="1" t="s">
        <v>869</v>
      </c>
      <c r="D106" s="1" t="s">
        <v>869</v>
      </c>
      <c r="E106" s="1" t="s">
        <v>869</v>
      </c>
      <c r="H106" s="1" t="s">
        <v>869</v>
      </c>
      <c r="I106" s="1" t="s">
        <v>869</v>
      </c>
      <c r="J106" s="1" t="s">
        <v>970</v>
      </c>
      <c r="K106" s="1" t="s">
        <v>1091</v>
      </c>
      <c r="L106" s="1" t="s">
        <v>1091</v>
      </c>
      <c r="M106" s="1" t="s">
        <v>1091</v>
      </c>
      <c r="N106" s="1" t="s">
        <v>1091</v>
      </c>
      <c r="O106" s="1" t="s">
        <v>1218</v>
      </c>
      <c r="P106" s="1" t="s">
        <v>1218</v>
      </c>
      <c r="Q106" s="1" t="s">
        <v>1218</v>
      </c>
      <c r="R106" s="1" t="s">
        <v>1218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8.75" x14ac:dyDescent="0.25">
      <c r="A107" s="6">
        <f t="shared" si="3"/>
        <v>1</v>
      </c>
      <c r="B107" s="7" t="str">
        <f t="array" aca="1" ref="B107" ca="1">OFFSET(C107,,MATCH(TRUE,C107:AI107&lt;&gt;"",0)-1)</f>
        <v xml:space="preserve"> Cancelar prontidão operacional</v>
      </c>
      <c r="C107" s="1" t="s">
        <v>888</v>
      </c>
      <c r="D107" s="1" t="s">
        <v>888</v>
      </c>
      <c r="E107" s="1" t="s">
        <v>888</v>
      </c>
      <c r="F107" s="1" t="s">
        <v>888</v>
      </c>
      <c r="G107" s="1" t="s">
        <v>852</v>
      </c>
      <c r="H107" s="1" t="s">
        <v>999</v>
      </c>
      <c r="I107" s="1" t="s">
        <v>888</v>
      </c>
      <c r="J107" s="1" t="s">
        <v>1018</v>
      </c>
      <c r="K107" s="1" t="s">
        <v>1092</v>
      </c>
      <c r="L107" s="1" t="s">
        <v>1092</v>
      </c>
      <c r="M107" s="1" t="s">
        <v>1092</v>
      </c>
      <c r="N107" s="1" t="s">
        <v>1145</v>
      </c>
      <c r="O107" s="1" t="s">
        <v>1219</v>
      </c>
      <c r="P107" s="1" t="s">
        <v>1219</v>
      </c>
      <c r="Q107" s="1" t="s">
        <v>1219</v>
      </c>
      <c r="R107" s="1" t="s">
        <v>1219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8.75" x14ac:dyDescent="0.25">
      <c r="A108" s="6">
        <f t="shared" si="3"/>
        <v>1</v>
      </c>
      <c r="B108" s="16" t="str">
        <f t="array" aca="1" ref="B108" ca="1">OFFSET(C108,,MATCH(TRUE,C108:AI108&lt;&gt;"",0)-1)</f>
        <v xml:space="preserve"> Manutenção</v>
      </c>
      <c r="C108" s="17" t="s">
        <v>856</v>
      </c>
      <c r="D108" s="17" t="s">
        <v>856</v>
      </c>
      <c r="E108" s="17" t="s">
        <v>856</v>
      </c>
      <c r="F108" s="17" t="s">
        <v>856</v>
      </c>
      <c r="G108" s="17" t="s">
        <v>856</v>
      </c>
      <c r="H108" s="17" t="s">
        <v>853</v>
      </c>
      <c r="I108" s="17" t="s">
        <v>856</v>
      </c>
      <c r="J108" s="17" t="s">
        <v>856</v>
      </c>
      <c r="K108" s="17" t="s">
        <v>1093</v>
      </c>
      <c r="L108" s="17" t="s">
        <v>1093</v>
      </c>
      <c r="M108" s="17" t="s">
        <v>1093</v>
      </c>
      <c r="N108" s="17" t="s">
        <v>1093</v>
      </c>
      <c r="O108" s="17" t="s">
        <v>1220</v>
      </c>
      <c r="P108" s="17" t="s">
        <v>1220</v>
      </c>
      <c r="Q108" s="17" t="s">
        <v>1220</v>
      </c>
      <c r="R108" s="17" t="s">
        <v>1220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8.75" x14ac:dyDescent="0.25">
      <c r="A109" s="6">
        <f t="shared" si="3"/>
        <v>1</v>
      </c>
      <c r="B109" s="7" t="str">
        <f t="array" aca="1" ref="B109" ca="1">OFFSET(C109,,MATCH(TRUE,C109:AI109&lt;&gt;"",0)-1)</f>
        <v xml:space="preserve"> Avisos de segurança</v>
      </c>
      <c r="C109" s="1" t="s">
        <v>883</v>
      </c>
      <c r="D109" s="1" t="s">
        <v>883</v>
      </c>
      <c r="E109" s="1" t="s">
        <v>883</v>
      </c>
      <c r="F109" s="1" t="s">
        <v>883</v>
      </c>
      <c r="G109" s="1" t="s">
        <v>846</v>
      </c>
      <c r="H109" s="1" t="s">
        <v>846</v>
      </c>
      <c r="I109" s="1" t="s">
        <v>883</v>
      </c>
      <c r="J109" s="1" t="s">
        <v>883</v>
      </c>
      <c r="K109" s="1" t="s">
        <v>1065</v>
      </c>
      <c r="L109" s="1" t="s">
        <v>1065</v>
      </c>
      <c r="M109" s="1" t="s">
        <v>1065</v>
      </c>
      <c r="N109" s="1" t="s">
        <v>1065</v>
      </c>
      <c r="O109" s="1" t="s">
        <v>1196</v>
      </c>
      <c r="P109" s="1" t="s">
        <v>1196</v>
      </c>
      <c r="Q109" s="1" t="s">
        <v>1196</v>
      </c>
      <c r="R109" s="1" t="s">
        <v>1196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8.75" x14ac:dyDescent="0.25">
      <c r="A110" s="6">
        <f t="shared" si="3"/>
        <v>1</v>
      </c>
      <c r="B110" s="7" t="str">
        <f t="array" aca="1" ref="B110" ca="1">OFFSET(C110,,MATCH(TRUE,C110:AI110&lt;&gt;"",0)-1)</f>
        <v xml:space="preserve"> Observar as normas</v>
      </c>
      <c r="C110" s="1" t="s">
        <v>854</v>
      </c>
      <c r="D110" s="1" t="s">
        <v>854</v>
      </c>
      <c r="E110" s="1" t="s">
        <v>854</v>
      </c>
      <c r="F110" s="1" t="s">
        <v>854</v>
      </c>
      <c r="G110" s="1" t="s">
        <v>854</v>
      </c>
      <c r="H110" s="1" t="s">
        <v>854</v>
      </c>
      <c r="I110" s="1" t="s">
        <v>854</v>
      </c>
      <c r="J110" s="1" t="s">
        <v>854</v>
      </c>
      <c r="K110" s="1" t="s">
        <v>1094</v>
      </c>
      <c r="L110" s="1" t="s">
        <v>1094</v>
      </c>
      <c r="M110" s="1" t="s">
        <v>1094</v>
      </c>
      <c r="N110" s="1" t="s">
        <v>1146</v>
      </c>
      <c r="O110" s="1" t="s">
        <v>1221</v>
      </c>
      <c r="P110" s="1" t="s">
        <v>1221</v>
      </c>
      <c r="Q110" s="1" t="s">
        <v>1221</v>
      </c>
      <c r="R110" s="1" t="s">
        <v>1221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8.75" x14ac:dyDescent="0.25">
      <c r="A111" s="6">
        <f t="shared" si="3"/>
        <v>1</v>
      </c>
      <c r="B111" s="7" t="str">
        <f t="array" aca="1" ref="B111" ca="1">OFFSET(C111,,MATCH(TRUE,C111:AI111&lt;&gt;"",0)-1)</f>
        <v xml:space="preserve"> Isolamento e bloqueio de energias</v>
      </c>
      <c r="C111" s="1" t="s">
        <v>926</v>
      </c>
      <c r="D111" s="1" t="s">
        <v>926</v>
      </c>
      <c r="E111" s="1" t="s">
        <v>926</v>
      </c>
      <c r="F111" s="1" t="s">
        <v>926</v>
      </c>
      <c r="G111" s="1" t="s">
        <v>855</v>
      </c>
      <c r="H111" s="1" t="s">
        <v>855</v>
      </c>
      <c r="I111" s="1" t="s">
        <v>1014</v>
      </c>
      <c r="J111" s="1" t="s">
        <v>926</v>
      </c>
      <c r="K111" s="1" t="s">
        <v>1095</v>
      </c>
      <c r="L111" s="1" t="s">
        <v>1095</v>
      </c>
      <c r="M111" s="1" t="s">
        <v>1095</v>
      </c>
      <c r="N111" s="1" t="s">
        <v>1095</v>
      </c>
      <c r="O111" s="1" t="s">
        <v>1222</v>
      </c>
      <c r="P111" s="1" t="s">
        <v>1222</v>
      </c>
      <c r="Q111" s="1" t="s">
        <v>1222</v>
      </c>
      <c r="R111" s="1" t="s">
        <v>1222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8.75" x14ac:dyDescent="0.25">
      <c r="A112" s="6">
        <f t="shared" si="3"/>
        <v>1</v>
      </c>
      <c r="B112" s="7" t="str">
        <f t="array" aca="1" ref="B112" ca="1">OFFSET(C112,,MATCH(TRUE,C112:AI112&lt;&gt;"",0)-1)</f>
        <v xml:space="preserve"> Manutenção preventiva</v>
      </c>
      <c r="C112" s="1" t="s">
        <v>889</v>
      </c>
      <c r="D112" s="1" t="s">
        <v>889</v>
      </c>
      <c r="E112" s="1" t="s">
        <v>889</v>
      </c>
      <c r="F112" s="1" t="s">
        <v>889</v>
      </c>
      <c r="G112" s="1" t="s">
        <v>856</v>
      </c>
      <c r="H112" s="1" t="s">
        <v>856</v>
      </c>
      <c r="I112" s="1" t="s">
        <v>889</v>
      </c>
      <c r="J112" s="1" t="s">
        <v>889</v>
      </c>
      <c r="K112" s="1" t="s">
        <v>1096</v>
      </c>
      <c r="L112" s="1" t="s">
        <v>1096</v>
      </c>
      <c r="M112" s="1" t="s">
        <v>1096</v>
      </c>
      <c r="N112" s="1" t="s">
        <v>1096</v>
      </c>
      <c r="O112" s="1" t="s">
        <v>1223</v>
      </c>
      <c r="P112" s="1" t="s">
        <v>1223</v>
      </c>
      <c r="Q112" s="1" t="s">
        <v>1223</v>
      </c>
      <c r="R112" s="1" t="s">
        <v>1223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8.75" x14ac:dyDescent="0.25">
      <c r="A113" s="6">
        <f t="shared" si="3"/>
        <v>1</v>
      </c>
      <c r="B113" s="7" t="str">
        <f t="array" aca="1" ref="B113" ca="1">OFFSET(C113,,MATCH(TRUE,C113:AI113&lt;&gt;"",0)-1)</f>
        <v xml:space="preserve"> Avisos de segurança</v>
      </c>
      <c r="C113" s="1" t="s">
        <v>883</v>
      </c>
      <c r="D113" s="1" t="s">
        <v>883</v>
      </c>
      <c r="E113" s="1" t="s">
        <v>883</v>
      </c>
      <c r="F113" s="1" t="s">
        <v>883</v>
      </c>
      <c r="G113" s="1" t="s">
        <v>846</v>
      </c>
      <c r="H113" s="1" t="s">
        <v>846</v>
      </c>
      <c r="I113" s="1" t="s">
        <v>883</v>
      </c>
      <c r="J113" s="1" t="s">
        <v>883</v>
      </c>
      <c r="K113" s="1" t="s">
        <v>1065</v>
      </c>
      <c r="L113" s="1" t="s">
        <v>1065</v>
      </c>
      <c r="M113" s="1" t="s">
        <v>1065</v>
      </c>
      <c r="N113" s="1" t="s">
        <v>1065</v>
      </c>
      <c r="O113" s="1" t="s">
        <v>1196</v>
      </c>
      <c r="P113" s="1" t="s">
        <v>1196</v>
      </c>
      <c r="Q113" s="1" t="s">
        <v>1196</v>
      </c>
      <c r="R113" s="1" t="s">
        <v>1196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8.75" x14ac:dyDescent="0.25">
      <c r="A114" s="6">
        <f t="shared" si="3"/>
        <v>1</v>
      </c>
      <c r="B114" s="7" t="str">
        <f t="array" aca="1" ref="B114" ca="1">OFFSET(C114,,MATCH(TRUE,C114:AI114&lt;&gt;"",0)-1)</f>
        <v xml:space="preserve"> Instruções sobre as práticas de manutenção preventiva</v>
      </c>
      <c r="C114" s="1" t="s">
        <v>927</v>
      </c>
      <c r="D114" s="1" t="s">
        <v>927</v>
      </c>
      <c r="E114" s="1" t="s">
        <v>927</v>
      </c>
      <c r="F114" s="1" t="s">
        <v>927</v>
      </c>
      <c r="G114" s="1" t="s">
        <v>857</v>
      </c>
      <c r="H114" s="1" t="s">
        <v>857</v>
      </c>
      <c r="I114" s="1" t="s">
        <v>927</v>
      </c>
      <c r="J114" s="1" t="s">
        <v>927</v>
      </c>
      <c r="K114" s="1" t="s">
        <v>1097</v>
      </c>
      <c r="L114" s="1" t="s">
        <v>1097</v>
      </c>
      <c r="M114" s="1" t="s">
        <v>1097</v>
      </c>
      <c r="N114" s="1" t="s">
        <v>1147</v>
      </c>
      <c r="O114" s="1" t="s">
        <v>1224</v>
      </c>
      <c r="P114" s="1" t="s">
        <v>1224</v>
      </c>
      <c r="Q114" s="1" t="s">
        <v>1224</v>
      </c>
      <c r="R114" s="1" t="s">
        <v>1224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8.75" x14ac:dyDescent="0.25">
      <c r="A115" s="6">
        <f t="shared" si="3"/>
        <v>1</v>
      </c>
      <c r="B115" s="7" t="str">
        <f t="array" aca="1" ref="B115" ca="1">OFFSET(C115,,MATCH(TRUE,C115:AI115&lt;&gt;"",0)-1)</f>
        <v xml:space="preserve"> Preparar</v>
      </c>
      <c r="C115" s="1" t="s">
        <v>803</v>
      </c>
      <c r="D115" s="1" t="s">
        <v>803</v>
      </c>
      <c r="E115" s="1" t="s">
        <v>803</v>
      </c>
      <c r="F115" s="1" t="s">
        <v>803</v>
      </c>
      <c r="G115" s="1" t="s">
        <v>885</v>
      </c>
      <c r="H115" s="1" t="s">
        <v>803</v>
      </c>
      <c r="I115" s="1" t="s">
        <v>803</v>
      </c>
      <c r="J115" s="1" t="s">
        <v>803</v>
      </c>
      <c r="K115" s="1" t="s">
        <v>1082</v>
      </c>
      <c r="L115" s="1" t="s">
        <v>1082</v>
      </c>
      <c r="M115" s="1" t="s">
        <v>1082</v>
      </c>
      <c r="N115" s="1" t="s">
        <v>1082</v>
      </c>
      <c r="O115" s="1" t="s">
        <v>803</v>
      </c>
      <c r="P115" s="1" t="s">
        <v>803</v>
      </c>
      <c r="Q115" s="1" t="s">
        <v>803</v>
      </c>
      <c r="R115" s="1" t="s">
        <v>803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8.75" x14ac:dyDescent="0.25">
      <c r="A116" s="6">
        <f t="shared" si="3"/>
        <v>1</v>
      </c>
      <c r="B116" s="7" t="str">
        <f t="array" aca="1" ref="B116" ca="1">OFFSET(C116,,MATCH(TRUE,C116:AI116&lt;&gt;"",0)-1)</f>
        <v xml:space="preserve"> Plano de manutenção preventiva</v>
      </c>
      <c r="C116" s="1" t="s">
        <v>928</v>
      </c>
      <c r="D116" s="1" t="s">
        <v>928</v>
      </c>
      <c r="E116" s="1" t="s">
        <v>928</v>
      </c>
      <c r="F116" s="1" t="s">
        <v>928</v>
      </c>
      <c r="G116" s="1" t="s">
        <v>858</v>
      </c>
      <c r="H116" s="1" t="s">
        <v>858</v>
      </c>
      <c r="I116" s="1" t="s">
        <v>928</v>
      </c>
      <c r="J116" s="1" t="s">
        <v>928</v>
      </c>
      <c r="K116" s="1" t="s">
        <v>1098</v>
      </c>
      <c r="L116" s="1" t="s">
        <v>1098</v>
      </c>
      <c r="M116" s="1" t="s">
        <v>1098</v>
      </c>
      <c r="N116" s="1" t="s">
        <v>1098</v>
      </c>
      <c r="O116" s="1" t="s">
        <v>1225</v>
      </c>
      <c r="P116" s="1" t="s">
        <v>1225</v>
      </c>
      <c r="Q116" s="1" t="s">
        <v>1225</v>
      </c>
      <c r="R116" s="1" t="s">
        <v>1225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8.75" x14ac:dyDescent="0.25">
      <c r="A117" s="6">
        <f t="shared" si="3"/>
        <v>0.9375</v>
      </c>
      <c r="B117" s="7" t="str">
        <f t="array" aca="1" ref="B117" ca="1">OFFSET(C117,,MATCH(TRUE,C117:AI117&lt;&gt;"",0)-1)</f>
        <v xml:space="preserve"> Descrição detalhada das atividades de manutenção preventiva</v>
      </c>
      <c r="C117" s="1" t="s">
        <v>929</v>
      </c>
      <c r="D117" s="1" t="s">
        <v>929</v>
      </c>
      <c r="E117" s="1" t="s">
        <v>929</v>
      </c>
      <c r="F117" s="1" t="s">
        <v>971</v>
      </c>
      <c r="G117" s="1" t="s">
        <v>986</v>
      </c>
      <c r="H117" s="1" t="s">
        <v>986</v>
      </c>
      <c r="I117" s="1" t="s">
        <v>971</v>
      </c>
      <c r="J117" s="1" t="s">
        <v>971</v>
      </c>
      <c r="K117" s="1" t="s">
        <v>1099</v>
      </c>
      <c r="L117" s="1" t="s">
        <v>1099</v>
      </c>
      <c r="M117" s="1" t="s">
        <v>1099</v>
      </c>
      <c r="N117" s="1" t="s">
        <v>1099</v>
      </c>
      <c r="O117" s="1" t="s">
        <v>1226</v>
      </c>
      <c r="P117" s="1" t="s">
        <v>1226</v>
      </c>
      <c r="Q117" s="1" t="s">
        <v>1226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8.75" x14ac:dyDescent="0.25">
      <c r="A118" s="6">
        <f t="shared" si="3"/>
        <v>1</v>
      </c>
      <c r="B118" s="7" t="str">
        <f t="array" aca="1" ref="B118" ca="1">OFFSET(C118,,MATCH(TRUE,C118:AI118&lt;&gt;"",0)-1)</f>
        <v xml:space="preserve"> Plano de lubrificação</v>
      </c>
      <c r="C118" s="1" t="s">
        <v>859</v>
      </c>
      <c r="D118" s="1" t="s">
        <v>859</v>
      </c>
      <c r="E118" s="1" t="s">
        <v>859</v>
      </c>
      <c r="F118" s="1" t="s">
        <v>859</v>
      </c>
      <c r="G118" s="1" t="s">
        <v>859</v>
      </c>
      <c r="H118" s="1" t="s">
        <v>859</v>
      </c>
      <c r="I118" s="1" t="s">
        <v>859</v>
      </c>
      <c r="J118" s="1" t="s">
        <v>859</v>
      </c>
      <c r="K118" s="1" t="s">
        <v>1100</v>
      </c>
      <c r="L118" s="1" t="s">
        <v>1100</v>
      </c>
      <c r="M118" s="1" t="s">
        <v>1100</v>
      </c>
      <c r="N118" s="1" t="s">
        <v>1100</v>
      </c>
      <c r="O118" s="1" t="s">
        <v>1227</v>
      </c>
      <c r="P118" s="1" t="s">
        <v>1227</v>
      </c>
      <c r="Q118" s="1" t="s">
        <v>1227</v>
      </c>
      <c r="R118" s="1" t="s">
        <v>1227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8.75" x14ac:dyDescent="0.25">
      <c r="A119" s="6">
        <f t="shared" si="3"/>
        <v>1</v>
      </c>
      <c r="B119" s="16" t="str">
        <f t="array" aca="1" ref="B119" ca="1">OFFSET(C119,,MATCH(TRUE,C119:AI119&lt;&gt;"",0)-1)</f>
        <v xml:space="preserve"> Falhas</v>
      </c>
      <c r="C119" s="17" t="s">
        <v>890</v>
      </c>
      <c r="D119" s="17" t="s">
        <v>890</v>
      </c>
      <c r="E119" s="17" t="s">
        <v>890</v>
      </c>
      <c r="F119" s="17" t="s">
        <v>890</v>
      </c>
      <c r="G119" s="17" t="s">
        <v>860</v>
      </c>
      <c r="H119" s="17" t="s">
        <v>860</v>
      </c>
      <c r="I119" s="17" t="s">
        <v>890</v>
      </c>
      <c r="J119" s="17" t="s">
        <v>890</v>
      </c>
      <c r="K119" s="17" t="s">
        <v>1101</v>
      </c>
      <c r="L119" s="17" t="s">
        <v>1101</v>
      </c>
      <c r="M119" s="17" t="s">
        <v>1101</v>
      </c>
      <c r="N119" s="17" t="s">
        <v>1101</v>
      </c>
      <c r="O119" s="17" t="s">
        <v>1228</v>
      </c>
      <c r="P119" s="17" t="s">
        <v>1228</v>
      </c>
      <c r="Q119" s="17" t="s">
        <v>1228</v>
      </c>
      <c r="R119" s="17" t="s">
        <v>1228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8.75" x14ac:dyDescent="0.25">
      <c r="A120" s="6">
        <f t="shared" si="3"/>
        <v>1</v>
      </c>
      <c r="B120" s="7" t="str">
        <f t="array" aca="1" ref="B120" ca="1">OFFSET(C120,,MATCH(TRUE,C120:AI120&lt;&gt;"",0)-1)</f>
        <v xml:space="preserve"> Avisos de segurança</v>
      </c>
      <c r="C120" s="1" t="s">
        <v>883</v>
      </c>
      <c r="D120" s="1" t="s">
        <v>883</v>
      </c>
      <c r="E120" s="1" t="s">
        <v>883</v>
      </c>
      <c r="F120" s="1" t="s">
        <v>883</v>
      </c>
      <c r="G120" s="1" t="s">
        <v>846</v>
      </c>
      <c r="H120" s="1" t="s">
        <v>846</v>
      </c>
      <c r="I120" s="1" t="s">
        <v>883</v>
      </c>
      <c r="J120" s="1" t="s">
        <v>883</v>
      </c>
      <c r="K120" s="1" t="s">
        <v>1065</v>
      </c>
      <c r="L120" s="1" t="s">
        <v>1065</v>
      </c>
      <c r="M120" s="1" t="s">
        <v>1065</v>
      </c>
      <c r="N120" s="1" t="s">
        <v>1065</v>
      </c>
      <c r="O120" s="1" t="s">
        <v>1196</v>
      </c>
      <c r="P120" s="1" t="s">
        <v>1196</v>
      </c>
      <c r="Q120" s="1" t="s">
        <v>1196</v>
      </c>
      <c r="R120" s="1" t="s">
        <v>1196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8.75" x14ac:dyDescent="0.25">
      <c r="A121" s="6">
        <f t="shared" si="3"/>
        <v>1</v>
      </c>
      <c r="B121" s="7" t="str">
        <f t="array" aca="1" ref="B121" ca="1">OFFSET(C121,,MATCH(TRUE,C121:AI121&lt;&gt;"",0)-1)</f>
        <v xml:space="preserve"> Eliminação</v>
      </c>
      <c r="C121" s="1" t="s">
        <v>891</v>
      </c>
      <c r="D121" s="1" t="s">
        <v>891</v>
      </c>
      <c r="E121" s="1" t="s">
        <v>891</v>
      </c>
      <c r="F121" s="1" t="s">
        <v>972</v>
      </c>
      <c r="G121" s="1" t="s">
        <v>844</v>
      </c>
      <c r="H121" s="1" t="s">
        <v>844</v>
      </c>
      <c r="I121" s="1" t="s">
        <v>844</v>
      </c>
      <c r="J121" s="1" t="s">
        <v>972</v>
      </c>
      <c r="K121" s="1" t="s">
        <v>1102</v>
      </c>
      <c r="L121" s="1" t="s">
        <v>1102</v>
      </c>
      <c r="M121" s="1" t="s">
        <v>1102</v>
      </c>
      <c r="N121" s="1" t="s">
        <v>1102</v>
      </c>
      <c r="O121" s="1" t="s">
        <v>1229</v>
      </c>
      <c r="P121" s="1" t="s">
        <v>1229</v>
      </c>
      <c r="Q121" s="1" t="s">
        <v>1229</v>
      </c>
      <c r="R121" s="1" t="s">
        <v>1229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8.75" x14ac:dyDescent="0.25">
      <c r="A122" s="6">
        <f t="shared" si="3"/>
        <v>0.5625</v>
      </c>
      <c r="B122" s="7" t="str">
        <f t="array" aca="1" ref="B122" ca="1">OFFSET(C122,,MATCH(TRUE,C122:AI122&lt;&gt;"",0)-1)</f>
        <v xml:space="preserve"> Modo de operação Telesserviço</v>
      </c>
      <c r="D122" s="1" t="s">
        <v>956</v>
      </c>
      <c r="E122" s="1" t="s">
        <v>956</v>
      </c>
      <c r="H122" s="1" t="s">
        <v>870</v>
      </c>
      <c r="J122" s="1" t="s">
        <v>1019</v>
      </c>
      <c r="K122" s="1" t="s">
        <v>1103</v>
      </c>
      <c r="M122" s="1" t="s">
        <v>1103</v>
      </c>
      <c r="P122" s="1" t="s">
        <v>1262</v>
      </c>
      <c r="Q122" s="1" t="s">
        <v>1262</v>
      </c>
      <c r="R122" s="1" t="s">
        <v>1262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8.75" x14ac:dyDescent="0.25">
      <c r="A123" s="6">
        <f t="shared" si="3"/>
        <v>1</v>
      </c>
      <c r="B123" s="16" t="str">
        <f t="array" aca="1" ref="B123" ca="1">OFFSET(C123,,MATCH(TRUE,C123:AI123&lt;&gt;"",0)-1)</f>
        <v xml:space="preserve"> Dados técnicos</v>
      </c>
      <c r="C123" s="17" t="s">
        <v>861</v>
      </c>
      <c r="D123" s="17" t="s">
        <v>861</v>
      </c>
      <c r="E123" s="17" t="s">
        <v>861</v>
      </c>
      <c r="F123" s="17" t="s">
        <v>861</v>
      </c>
      <c r="G123" s="17" t="s">
        <v>861</v>
      </c>
      <c r="H123" s="17" t="s">
        <v>861</v>
      </c>
      <c r="I123" s="17" t="s">
        <v>861</v>
      </c>
      <c r="J123" s="17" t="s">
        <v>861</v>
      </c>
      <c r="K123" s="17" t="s">
        <v>1104</v>
      </c>
      <c r="L123" s="17" t="s">
        <v>1104</v>
      </c>
      <c r="M123" s="17" t="s">
        <v>1104</v>
      </c>
      <c r="N123" s="17" t="s">
        <v>1104</v>
      </c>
      <c r="O123" s="17" t="s">
        <v>1230</v>
      </c>
      <c r="P123" s="17" t="s">
        <v>1230</v>
      </c>
      <c r="Q123" s="17" t="s">
        <v>1230</v>
      </c>
      <c r="R123" s="17" t="s">
        <v>1230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8.75" x14ac:dyDescent="0.25">
      <c r="A124" s="6">
        <f t="shared" si="3"/>
        <v>1</v>
      </c>
      <c r="B124" s="7" t="str">
        <f t="array" aca="1" ref="B124" ca="1">OFFSET(C124,,MATCH(TRUE,C124:AI124&lt;&gt;"",0)-1)</f>
        <v xml:space="preserve"> Requisitos para fluidos</v>
      </c>
      <c r="C124" s="1" t="s">
        <v>862</v>
      </c>
      <c r="D124" s="1" t="s">
        <v>862</v>
      </c>
      <c r="E124" s="1" t="s">
        <v>862</v>
      </c>
      <c r="F124" s="1" t="s">
        <v>862</v>
      </c>
      <c r="G124" s="1" t="s">
        <v>862</v>
      </c>
      <c r="H124" s="1" t="s">
        <v>862</v>
      </c>
      <c r="I124" s="1" t="s">
        <v>862</v>
      </c>
      <c r="J124" s="1" t="s">
        <v>862</v>
      </c>
      <c r="K124" s="1" t="s">
        <v>1105</v>
      </c>
      <c r="L124" s="1" t="s">
        <v>1105</v>
      </c>
      <c r="M124" s="1" t="s">
        <v>1105</v>
      </c>
      <c r="N124" s="1" t="s">
        <v>1105</v>
      </c>
      <c r="O124" s="1" t="s">
        <v>1231</v>
      </c>
      <c r="P124" s="1" t="s">
        <v>1231</v>
      </c>
      <c r="Q124" s="1" t="s">
        <v>1231</v>
      </c>
      <c r="R124" s="1" t="s">
        <v>1231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8.75" x14ac:dyDescent="0.25">
      <c r="A125" s="6">
        <f t="shared" si="3"/>
        <v>0.375</v>
      </c>
      <c r="B125" s="7" t="str">
        <f t="array" aca="1" ref="B125" ca="1">OFFSET(C125,,MATCH(TRUE,C125:AI125&lt;&gt;"",0)-1)</f>
        <v xml:space="preserve"> Água em geral</v>
      </c>
      <c r="F125" s="1" t="s">
        <v>973</v>
      </c>
      <c r="G125" s="1" t="s">
        <v>973</v>
      </c>
      <c r="H125" s="1" t="s">
        <v>1000</v>
      </c>
      <c r="I125" s="1" t="s">
        <v>973</v>
      </c>
      <c r="J125" s="1" t="s">
        <v>973</v>
      </c>
      <c r="N125" s="1" t="s">
        <v>1148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8.75" x14ac:dyDescent="0.25">
      <c r="A126" s="6">
        <f t="shared" si="3"/>
        <v>6.25E-2</v>
      </c>
      <c r="B126" s="7" t="str">
        <f t="array" aca="1" ref="B126" ca="1">OFFSET(C126,,MATCH(TRUE,C126:AI126&lt;&gt;"",0)-1)</f>
        <v xml:space="preserve"> Ar comprimido</v>
      </c>
      <c r="G126" s="1" t="s">
        <v>892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8.75" x14ac:dyDescent="0.25">
      <c r="A127" s="6">
        <f t="shared" si="3"/>
        <v>1</v>
      </c>
      <c r="B127" s="7" t="str">
        <f t="array" aca="1" ref="B127" ca="1">OFFSET(C127,,MATCH(TRUE,C127:AI127&lt;&gt;"",0)-1)</f>
        <v xml:space="preserve"> Energia elétrica</v>
      </c>
      <c r="C127" s="1" t="s">
        <v>930</v>
      </c>
      <c r="D127" s="1" t="s">
        <v>930</v>
      </c>
      <c r="E127" s="1" t="s">
        <v>930</v>
      </c>
      <c r="F127" s="1" t="s">
        <v>930</v>
      </c>
      <c r="G127" s="1" t="s">
        <v>930</v>
      </c>
      <c r="H127" s="1" t="s">
        <v>930</v>
      </c>
      <c r="I127" s="1" t="s">
        <v>930</v>
      </c>
      <c r="J127" s="1" t="s">
        <v>930</v>
      </c>
      <c r="K127" s="1" t="s">
        <v>1106</v>
      </c>
      <c r="L127" s="1" t="s">
        <v>1106</v>
      </c>
      <c r="M127" s="1" t="s">
        <v>1106</v>
      </c>
      <c r="N127" s="1" t="s">
        <v>1149</v>
      </c>
      <c r="O127" s="1" t="s">
        <v>1232</v>
      </c>
      <c r="P127" s="1" t="s">
        <v>1232</v>
      </c>
      <c r="Q127" s="1" t="s">
        <v>1232</v>
      </c>
      <c r="R127" s="1" t="s">
        <v>1232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8.75" x14ac:dyDescent="0.25">
      <c r="A128" s="6">
        <f t="shared" si="3"/>
        <v>1</v>
      </c>
      <c r="B128" s="7" t="str">
        <f t="array" aca="1" ref="B128" ca="1">OFFSET(C128,,MATCH(TRUE,C128:AI128&lt;&gt;"",0)-1)</f>
        <v xml:space="preserve"> Operação</v>
      </c>
      <c r="C128" s="1" t="s">
        <v>845</v>
      </c>
      <c r="D128" s="1" t="s">
        <v>845</v>
      </c>
      <c r="E128" s="1" t="s">
        <v>845</v>
      </c>
      <c r="F128" s="1" t="s">
        <v>845</v>
      </c>
      <c r="G128" s="1" t="s">
        <v>845</v>
      </c>
      <c r="H128" s="1" t="s">
        <v>845</v>
      </c>
      <c r="I128" s="1" t="s">
        <v>845</v>
      </c>
      <c r="J128" s="1" t="s">
        <v>845</v>
      </c>
      <c r="K128" s="1" t="s">
        <v>1075</v>
      </c>
      <c r="L128" s="1" t="s">
        <v>1075</v>
      </c>
      <c r="M128" s="1" t="s">
        <v>1075</v>
      </c>
      <c r="N128" s="1" t="s">
        <v>1075</v>
      </c>
      <c r="O128" s="1" t="s">
        <v>1205</v>
      </c>
      <c r="P128" s="1" t="s">
        <v>1205</v>
      </c>
      <c r="Q128" s="1" t="s">
        <v>1205</v>
      </c>
      <c r="R128" s="1" t="s">
        <v>1205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8.75" x14ac:dyDescent="0.25">
      <c r="A129" s="6">
        <f t="shared" si="3"/>
        <v>1</v>
      </c>
      <c r="B129" s="7" t="str">
        <f t="array" aca="1" ref="B129" ca="1">OFFSET(C129,,MATCH(TRUE,C129:AI129&lt;&gt;"",0)-1)</f>
        <v xml:space="preserve"> Emissão de ruído</v>
      </c>
      <c r="C129" s="1" t="s">
        <v>863</v>
      </c>
      <c r="D129" s="1" t="s">
        <v>863</v>
      </c>
      <c r="E129" s="1" t="s">
        <v>863</v>
      </c>
      <c r="F129" s="1" t="s">
        <v>863</v>
      </c>
      <c r="G129" s="1" t="s">
        <v>863</v>
      </c>
      <c r="H129" s="1" t="s">
        <v>863</v>
      </c>
      <c r="I129" s="1" t="s">
        <v>863</v>
      </c>
      <c r="J129" s="1" t="s">
        <v>863</v>
      </c>
      <c r="K129" s="1" t="s">
        <v>1107</v>
      </c>
      <c r="L129" s="1" t="s">
        <v>1107</v>
      </c>
      <c r="M129" s="1" t="s">
        <v>1107</v>
      </c>
      <c r="N129" s="1" t="s">
        <v>1107</v>
      </c>
      <c r="O129" s="1" t="s">
        <v>1233</v>
      </c>
      <c r="P129" s="1" t="s">
        <v>1233</v>
      </c>
      <c r="Q129" s="1" t="s">
        <v>1233</v>
      </c>
      <c r="R129" s="1" t="s">
        <v>1233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8.75" x14ac:dyDescent="0.25">
      <c r="A130" s="6">
        <f t="shared" si="3"/>
        <v>0.9375</v>
      </c>
      <c r="B130" s="7" t="str">
        <f t="array" aca="1" ref="B130" ca="1">OFFSET(C130,,MATCH(TRUE,C130:AI130&lt;&gt;"",0)-1)</f>
        <v xml:space="preserve"> Tipos</v>
      </c>
      <c r="D130" s="1" t="s">
        <v>893</v>
      </c>
      <c r="E130" s="1" t="s">
        <v>893</v>
      </c>
      <c r="F130" s="1" t="s">
        <v>893</v>
      </c>
      <c r="G130" s="1" t="s">
        <v>893</v>
      </c>
      <c r="H130" s="1" t="s">
        <v>893</v>
      </c>
      <c r="I130" s="1" t="s">
        <v>893</v>
      </c>
      <c r="J130" s="1" t="s">
        <v>893</v>
      </c>
      <c r="K130" s="1" t="s">
        <v>1108</v>
      </c>
      <c r="L130" s="1" t="s">
        <v>1108</v>
      </c>
      <c r="M130" s="1" t="s">
        <v>1108</v>
      </c>
      <c r="N130" s="1" t="s">
        <v>1108</v>
      </c>
      <c r="O130" s="1" t="s">
        <v>893</v>
      </c>
      <c r="P130" s="1" t="s">
        <v>893</v>
      </c>
      <c r="Q130" s="1" t="s">
        <v>893</v>
      </c>
      <c r="R130" s="1" t="s">
        <v>893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8.75" x14ac:dyDescent="0.25">
      <c r="A131" s="6">
        <f t="shared" si="3"/>
        <v>6.25E-2</v>
      </c>
      <c r="B131" s="7" t="str">
        <f t="array" aca="1" ref="B131" ca="1">OFFSET(C131,,MATCH(TRUE,C131:AI131&lt;&gt;"",0)-1)</f>
        <v xml:space="preserve"> Embalagem grupada A</v>
      </c>
      <c r="C131" s="1" t="s">
        <v>931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8.75" x14ac:dyDescent="0.25">
      <c r="A132" s="6">
        <f t="shared" ref="A132:A195" si="4">(1-COUNTBLANK(C132:R132)/COLUMNS(C132:R132))</f>
        <v>6.25E-2</v>
      </c>
      <c r="B132" s="7" t="str">
        <f t="array" aca="1" ref="B132" ca="1">OFFSET(C132,,MATCH(TRUE,C132:AI132&lt;&gt;"",0)-1)</f>
        <v xml:space="preserve"> Embalagem grupada B</v>
      </c>
      <c r="C132" s="1" t="s">
        <v>932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8.75" x14ac:dyDescent="0.25">
      <c r="A133" s="6">
        <f t="shared" si="4"/>
        <v>1</v>
      </c>
      <c r="B133" s="7" t="str">
        <f t="array" aca="1" ref="B133" ca="1">OFFSET(C133,,MATCH(TRUE,C133:AI133&lt;&gt;"",0)-1)</f>
        <v xml:space="preserve"> Manutenção</v>
      </c>
      <c r="C133" s="1" t="s">
        <v>856</v>
      </c>
      <c r="D133" s="1" t="s">
        <v>856</v>
      </c>
      <c r="E133" s="1" t="s">
        <v>856</v>
      </c>
      <c r="F133" s="1" t="s">
        <v>856</v>
      </c>
      <c r="G133" s="1" t="s">
        <v>856</v>
      </c>
      <c r="H133" s="1" t="s">
        <v>853</v>
      </c>
      <c r="I133" s="1" t="s">
        <v>856</v>
      </c>
      <c r="J133" s="1" t="s">
        <v>856</v>
      </c>
      <c r="K133" s="1" t="s">
        <v>1093</v>
      </c>
      <c r="L133" s="1" t="s">
        <v>1093</v>
      </c>
      <c r="M133" s="1" t="s">
        <v>1093</v>
      </c>
      <c r="N133" s="1" t="s">
        <v>1093</v>
      </c>
      <c r="O133" s="1" t="s">
        <v>1220</v>
      </c>
      <c r="P133" s="1" t="s">
        <v>1220</v>
      </c>
      <c r="Q133" s="1" t="s">
        <v>1220</v>
      </c>
      <c r="R133" s="1" t="s">
        <v>1220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8.75" x14ac:dyDescent="0.25">
      <c r="A134" s="6">
        <f t="shared" si="4"/>
        <v>0.875</v>
      </c>
      <c r="B134" s="7" t="str">
        <f t="array" aca="1" ref="B134" ca="1">OFFSET(C134,,MATCH(TRUE,C134:AI134&lt;&gt;"",0)-1)</f>
        <v xml:space="preserve"> Lubrificantes</v>
      </c>
      <c r="C134" s="1" t="s">
        <v>933</v>
      </c>
      <c r="D134" s="1" t="s">
        <v>933</v>
      </c>
      <c r="E134" s="1" t="s">
        <v>933</v>
      </c>
      <c r="F134" s="1" t="s">
        <v>933</v>
      </c>
      <c r="G134" s="1" t="s">
        <v>933</v>
      </c>
      <c r="H134" s="1" t="s">
        <v>933</v>
      </c>
      <c r="K134" s="1" t="s">
        <v>1109</v>
      </c>
      <c r="L134" s="1" t="s">
        <v>1109</v>
      </c>
      <c r="M134" s="1" t="s">
        <v>1109</v>
      </c>
      <c r="N134" s="1" t="s">
        <v>1109</v>
      </c>
      <c r="O134" s="1" t="s">
        <v>1234</v>
      </c>
      <c r="P134" s="1" t="s">
        <v>1234</v>
      </c>
      <c r="Q134" s="1" t="s">
        <v>1234</v>
      </c>
      <c r="R134" s="1" t="s">
        <v>1345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8.75" x14ac:dyDescent="0.25">
      <c r="A135" s="6">
        <f t="shared" si="4"/>
        <v>0.875</v>
      </c>
      <c r="B135" s="7" t="str">
        <f t="array" aca="1" ref="B135" ca="1">OFFSET(C135,,MATCH(TRUE,C135:AI135&lt;&gt;"",0)-1)</f>
        <v xml:space="preserve"> Sinalização dos pontos de lubrificação</v>
      </c>
      <c r="C135" s="1" t="s">
        <v>934</v>
      </c>
      <c r="D135" s="1" t="s">
        <v>934</v>
      </c>
      <c r="E135" s="1" t="s">
        <v>934</v>
      </c>
      <c r="F135" s="1" t="s">
        <v>934</v>
      </c>
      <c r="G135" s="1" t="s">
        <v>864</v>
      </c>
      <c r="H135" s="1" t="s">
        <v>864</v>
      </c>
      <c r="K135" s="1" t="s">
        <v>1110</v>
      </c>
      <c r="L135" s="1" t="s">
        <v>1110</v>
      </c>
      <c r="M135" s="1" t="s">
        <v>1110</v>
      </c>
      <c r="N135" s="1" t="s">
        <v>1110</v>
      </c>
      <c r="O135" s="1" t="s">
        <v>1235</v>
      </c>
      <c r="P135" s="1" t="s">
        <v>1235</v>
      </c>
      <c r="Q135" s="1" t="s">
        <v>1235</v>
      </c>
      <c r="R135" s="1" t="s">
        <v>1235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8.75" x14ac:dyDescent="0.25">
      <c r="A136" s="6">
        <f t="shared" si="4"/>
        <v>1</v>
      </c>
      <c r="B136" s="7" t="str">
        <f t="array" aca="1" ref="B136" ca="1">OFFSET(C136,,MATCH(TRUE,C136:AI136&lt;&gt;"",0)-1)</f>
        <v xml:space="preserve"> Sinalização dos dispositivos de isolamento e bloqueio de energias</v>
      </c>
      <c r="C136" s="1" t="s">
        <v>935</v>
      </c>
      <c r="D136" s="1" t="s">
        <v>935</v>
      </c>
      <c r="E136" s="1" t="s">
        <v>935</v>
      </c>
      <c r="F136" s="1" t="s">
        <v>935</v>
      </c>
      <c r="G136" s="1" t="s">
        <v>865</v>
      </c>
      <c r="H136" s="1" t="s">
        <v>865</v>
      </c>
      <c r="I136" s="1" t="s">
        <v>1015</v>
      </c>
      <c r="J136" s="1" t="s">
        <v>935</v>
      </c>
      <c r="K136" s="1" t="s">
        <v>1111</v>
      </c>
      <c r="L136" s="1" t="s">
        <v>1111</v>
      </c>
      <c r="M136" s="1" t="s">
        <v>1111</v>
      </c>
      <c r="N136" s="1" t="s">
        <v>1150</v>
      </c>
      <c r="O136" s="1" t="s">
        <v>1236</v>
      </c>
      <c r="P136" s="1" t="s">
        <v>1236</v>
      </c>
      <c r="Q136" s="1" t="s">
        <v>1236</v>
      </c>
      <c r="R136" s="1" t="s">
        <v>1236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8.75" x14ac:dyDescent="0.25">
      <c r="A137" s="6">
        <f t="shared" si="4"/>
        <v>0.4375</v>
      </c>
      <c r="B137" s="7" t="str">
        <f t="array" aca="1" ref="B137" ca="1">OFFSET(C137,,MATCH(TRUE,C137:AI137&lt;&gt;"",0)-1)</f>
        <v xml:space="preserve"> Produtos de limpeza</v>
      </c>
      <c r="C137" s="1" t="s">
        <v>936</v>
      </c>
      <c r="D137" s="1" t="s">
        <v>936</v>
      </c>
      <c r="E137" s="1" t="s">
        <v>936</v>
      </c>
      <c r="K137" s="1" t="s">
        <v>1112</v>
      </c>
      <c r="L137" s="1" t="s">
        <v>1112</v>
      </c>
      <c r="O137" s="1" t="s">
        <v>1237</v>
      </c>
      <c r="Q137" s="1" t="s">
        <v>1237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8.75" x14ac:dyDescent="0.25">
      <c r="A138" s="6">
        <f t="shared" si="4"/>
        <v>0.5625</v>
      </c>
      <c r="B138" s="7" t="str">
        <f t="array" aca="1" ref="B138" ca="1">OFFSET(C138,,MATCH(TRUE,C138:AI138&lt;&gt;"",0)-1)</f>
        <v xml:space="preserve"> Valores Limites para a Limpeza de Superfícies</v>
      </c>
      <c r="F138" s="1" t="s">
        <v>894</v>
      </c>
      <c r="G138" s="1" t="s">
        <v>866</v>
      </c>
      <c r="H138" s="1" t="s">
        <v>866</v>
      </c>
      <c r="I138" s="1" t="s">
        <v>894</v>
      </c>
      <c r="J138" s="1" t="s">
        <v>894</v>
      </c>
      <c r="M138" s="1" t="s">
        <v>1124</v>
      </c>
      <c r="N138" s="1" t="s">
        <v>1124</v>
      </c>
      <c r="P138" s="1" t="s">
        <v>1263</v>
      </c>
      <c r="R138" s="1" t="s">
        <v>1263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8.75" x14ac:dyDescent="0.25">
      <c r="A139" s="6">
        <f t="shared" si="4"/>
        <v>0.3125</v>
      </c>
      <c r="B139" s="7" t="str">
        <f t="array" aca="1" ref="B139" ca="1">OFFSET(C139,,MATCH(TRUE,C139:AI139&lt;&gt;"",0)-1)</f>
        <v xml:space="preserve"> Certificados</v>
      </c>
      <c r="H139" s="1" t="s">
        <v>806</v>
      </c>
      <c r="K139" s="1" t="s">
        <v>1113</v>
      </c>
      <c r="L139" s="1"/>
      <c r="M139" s="1" t="s">
        <v>1113</v>
      </c>
      <c r="N139" s="1" t="s">
        <v>1113</v>
      </c>
      <c r="O139" s="1"/>
      <c r="Q139" s="1" t="s">
        <v>806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8.75" x14ac:dyDescent="0.25">
      <c r="A140" s="6">
        <f t="shared" si="4"/>
        <v>0.1875</v>
      </c>
      <c r="B140" s="7" t="str">
        <f t="array" aca="1" ref="B140" ca="1">OFFSET(C140,,MATCH(TRUE,C140:AI140&lt;&gt;"",0)-1)</f>
        <v xml:space="preserve"> Declaração de conformidade CE</v>
      </c>
      <c r="C140" s="1"/>
      <c r="D140" s="1"/>
      <c r="E140" s="1"/>
      <c r="F140" s="1"/>
      <c r="G140" s="1"/>
      <c r="H140" s="1" t="s">
        <v>871</v>
      </c>
      <c r="I140" s="1"/>
      <c r="J140" s="1"/>
      <c r="K140" s="1" t="s">
        <v>1114</v>
      </c>
      <c r="L140" s="1"/>
      <c r="N140" s="1" t="s">
        <v>1114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8.75" x14ac:dyDescent="0.25">
      <c r="A141" s="6">
        <f t="shared" si="4"/>
        <v>1</v>
      </c>
      <c r="B141" s="7" t="str">
        <f t="array" aca="1" ref="B141" ca="1">OFFSET(C141,,MATCH(TRUE,C141:AI141&lt;&gt;"",0)-1)</f>
        <v xml:space="preserve"> Anexo</v>
      </c>
      <c r="C141" s="1" t="s">
        <v>867</v>
      </c>
      <c r="D141" s="1" t="s">
        <v>867</v>
      </c>
      <c r="E141" s="1" t="s">
        <v>867</v>
      </c>
      <c r="F141" s="1" t="s">
        <v>867</v>
      </c>
      <c r="G141" s="1" t="s">
        <v>867</v>
      </c>
      <c r="H141" s="1" t="s">
        <v>867</v>
      </c>
      <c r="I141" s="1" t="s">
        <v>867</v>
      </c>
      <c r="J141" s="1" t="s">
        <v>867</v>
      </c>
      <c r="K141" s="1" t="s">
        <v>1115</v>
      </c>
      <c r="L141" s="1" t="s">
        <v>1115</v>
      </c>
      <c r="M141" s="1" t="s">
        <v>1115</v>
      </c>
      <c r="N141" s="1" t="s">
        <v>1115</v>
      </c>
      <c r="O141" s="1" t="s">
        <v>1238</v>
      </c>
      <c r="P141" s="1" t="s">
        <v>1238</v>
      </c>
      <c r="Q141" s="1" t="s">
        <v>1238</v>
      </c>
      <c r="R141" s="1" t="s">
        <v>1238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8.75" x14ac:dyDescent="0.25">
      <c r="A142" s="6">
        <f t="shared" si="4"/>
        <v>0</v>
      </c>
      <c r="B142" s="7" t="e">
        <f t="array" aca="1" ref="B142" ca="1">OFFSET(C142,,MATCH(TRUE,C142:AI142&lt;&gt;"",0)-1)</f>
        <v>#N/A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8.75" x14ac:dyDescent="0.25">
      <c r="A143" s="6">
        <f t="shared" si="4"/>
        <v>0</v>
      </c>
      <c r="B143" s="7" t="e">
        <f t="array" aca="1" ref="B143" ca="1">OFFSET(C143,,MATCH(TRUE,C143:AI143&lt;&gt;"",0)-1)</f>
        <v>#N/A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8.75" x14ac:dyDescent="0.25">
      <c r="A144" s="6">
        <f t="shared" si="4"/>
        <v>0</v>
      </c>
      <c r="B144" s="7" t="e">
        <f t="array" aca="1" ref="B144" ca="1">OFFSET(C144,,MATCH(TRUE,C144:AI144&lt;&gt;"",0)-1)</f>
        <v>#N/A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7" ht="18.75" x14ac:dyDescent="0.25">
      <c r="A145" s="6">
        <f t="shared" si="4"/>
        <v>0</v>
      </c>
      <c r="B145" s="7" t="e">
        <f t="array" aca="1" ref="B145" ca="1">OFFSET(C145,,MATCH(TRUE,C145:AI145&lt;&gt;"",0)-1)</f>
        <v>#N/A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7" ht="18.75" x14ac:dyDescent="0.25">
      <c r="A146" s="6">
        <f t="shared" si="4"/>
        <v>0</v>
      </c>
      <c r="B146" s="7" t="e">
        <f t="array" aca="1" ref="B146" ca="1">OFFSET(C146,,MATCH(TRUE,C146:AI146&lt;&gt;"",0)-1)</f>
        <v>#N/A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7" ht="18.75" x14ac:dyDescent="0.25">
      <c r="A147" s="6">
        <f t="shared" si="4"/>
        <v>0</v>
      </c>
      <c r="B147" s="7" t="e">
        <f t="array" aca="1" ref="B147" ca="1">OFFSET(C147,,MATCH(TRUE,C147:AI147&lt;&gt;"",0)-1)</f>
        <v>#N/A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7" ht="18.75" x14ac:dyDescent="0.25">
      <c r="A148" s="6">
        <f t="shared" si="4"/>
        <v>0</v>
      </c>
      <c r="B148" s="7" t="e">
        <f t="array" aca="1" ref="B148" ca="1">OFFSET(C148,,MATCH(TRUE,C148:AI148&lt;&gt;"",0)-1)</f>
        <v>#N/A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7" ht="18.75" x14ac:dyDescent="0.25">
      <c r="A149" s="6">
        <f t="shared" si="4"/>
        <v>0</v>
      </c>
      <c r="B149" s="7" t="e">
        <f t="array" aca="1" ref="B149" ca="1">OFFSET(C149,,MATCH(TRUE,C149:AI149&lt;&gt;"",0)-1)</f>
        <v>#N/A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7" ht="18.75" x14ac:dyDescent="0.25">
      <c r="A150" s="6">
        <f t="shared" si="4"/>
        <v>0</v>
      </c>
      <c r="B150" s="7" t="e">
        <f t="array" aca="1" ref="B150" ca="1">OFFSET(C150,,MATCH(TRUE,C150:AI150&lt;&gt;"",0)-1)</f>
        <v>#N/A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7" ht="18.75" x14ac:dyDescent="0.25">
      <c r="A151" s="6">
        <f t="shared" si="4"/>
        <v>0</v>
      </c>
      <c r="B151" s="7" t="e">
        <f t="array" aca="1" ref="B151" ca="1">OFFSET(C151,,MATCH(TRUE,C151:AI151&lt;&gt;"",0)-1)</f>
        <v>#N/A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7" ht="18.75" x14ac:dyDescent="0.25">
      <c r="A152" s="6">
        <f t="shared" si="4"/>
        <v>0</v>
      </c>
      <c r="B152" s="7" t="e">
        <f t="array" aca="1" ref="B152" ca="1">OFFSET(C152,,MATCH(TRUE,C152:AI152&lt;&gt;"",0)-1)</f>
        <v>#N/A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7" ht="18.75" x14ac:dyDescent="0.25">
      <c r="A153" s="6">
        <f t="shared" si="4"/>
        <v>0</v>
      </c>
      <c r="B153" s="7" t="e">
        <f t="array" aca="1" ref="B153" ca="1">OFFSET(C153,,MATCH(TRUE,C153:AI153&lt;&gt;"",0)-1)</f>
        <v>#N/A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7" ht="18.75" x14ac:dyDescent="0.25">
      <c r="A154" s="6">
        <f t="shared" si="4"/>
        <v>0</v>
      </c>
      <c r="B154" s="7" t="e">
        <f t="array" aca="1" ref="B154" ca="1">OFFSET(C154,,MATCH(TRUE,C154:AI154&lt;&gt;"",0)-1)</f>
        <v>#N/A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7" ht="18.75" x14ac:dyDescent="0.25">
      <c r="A155" s="6">
        <f t="shared" si="4"/>
        <v>0</v>
      </c>
      <c r="B155" s="7" t="e">
        <f t="array" aca="1" ref="B155" ca="1">OFFSET(C155,,MATCH(TRUE,C155:AI155&lt;&gt;"",0)-1)</f>
        <v>#N/A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7" ht="18.75" x14ac:dyDescent="0.25">
      <c r="A156" s="6">
        <f t="shared" si="4"/>
        <v>0</v>
      </c>
      <c r="B156" s="7" t="e">
        <f t="array" aca="1" ref="B156" ca="1">OFFSET(C156,,MATCH(TRUE,C156:AI156&lt;&gt;"",0)-1)</f>
        <v>#N/A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7" ht="18.75" x14ac:dyDescent="0.25">
      <c r="A157" s="6">
        <f t="shared" si="4"/>
        <v>0</v>
      </c>
      <c r="B157" s="7" t="e">
        <f t="array" aca="1" ref="B157" ca="1">OFFSET(C157,,MATCH(TRUE,C157:AI157&lt;&gt;"",0)-1)</f>
        <v>#N/A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7" ht="18.75" x14ac:dyDescent="0.25">
      <c r="A158" s="6">
        <f t="shared" si="4"/>
        <v>0</v>
      </c>
      <c r="B158" s="7" t="e">
        <f t="array" aca="1" ref="B158" ca="1">OFFSET(C158,,MATCH(TRUE,C158:AI158&lt;&gt;"",0)-1)</f>
        <v>#N/A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8.75" x14ac:dyDescent="0.25">
      <c r="A159" s="6">
        <f t="shared" si="4"/>
        <v>0</v>
      </c>
      <c r="B159" s="7" t="e">
        <f t="array" aca="1" ref="B159" ca="1">OFFSET(C159,,MATCH(TRUE,C159:AI159&lt;&gt;"",0)-1)</f>
        <v>#N/A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7" ht="18.75" x14ac:dyDescent="0.25">
      <c r="A160" s="6">
        <f t="shared" si="4"/>
        <v>0</v>
      </c>
      <c r="B160" s="7" t="e">
        <f t="array" aca="1" ref="B160" ca="1">OFFSET(C160,,MATCH(TRUE,C160:AI160&lt;&gt;"",0)-1)</f>
        <v>#N/A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8.75" x14ac:dyDescent="0.25">
      <c r="A161" s="6">
        <f t="shared" si="4"/>
        <v>0</v>
      </c>
      <c r="B161" s="7" t="e">
        <f t="array" aca="1" ref="B161" ca="1">OFFSET(C161,,MATCH(TRUE,C161:AI161&lt;&gt;"",0)-1)</f>
        <v>#N/A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8.75" x14ac:dyDescent="0.25">
      <c r="A162" s="6">
        <f t="shared" si="4"/>
        <v>0</v>
      </c>
      <c r="B162" s="7" t="e">
        <f t="array" aca="1" ref="B162" ca="1">OFFSET(C162,,MATCH(TRUE,C162:AI162&lt;&gt;"",0)-1)</f>
        <v>#N/A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8.75" x14ac:dyDescent="0.25">
      <c r="A163" s="6">
        <f t="shared" si="4"/>
        <v>0</v>
      </c>
      <c r="B163" s="7" t="e">
        <f t="array" aca="1" ref="B163" ca="1">OFFSET(C163,,MATCH(TRUE,C163:AI163&lt;&gt;"",0)-1)</f>
        <v>#N/A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8.75" x14ac:dyDescent="0.25">
      <c r="A164" s="6">
        <f t="shared" si="4"/>
        <v>0</v>
      </c>
      <c r="B164" s="7" t="e">
        <f t="array" aca="1" ref="B164" ca="1">OFFSET(C164,,MATCH(TRUE,C164:AI164&lt;&gt;"",0)-1)</f>
        <v>#N/A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8.75" x14ac:dyDescent="0.25">
      <c r="A165" s="6">
        <f t="shared" si="4"/>
        <v>0</v>
      </c>
      <c r="B165" s="7" t="e">
        <f t="array" aca="1" ref="B165" ca="1">OFFSET(C165,,MATCH(TRUE,C165:AI165&lt;&gt;"",0)-1)</f>
        <v>#N/A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8.75" x14ac:dyDescent="0.25">
      <c r="A166" s="6">
        <f t="shared" si="4"/>
        <v>0</v>
      </c>
      <c r="B166" s="7" t="e">
        <f t="array" aca="1" ref="B166" ca="1">OFFSET(C166,,MATCH(TRUE,C166:AI166&lt;&gt;"",0)-1)</f>
        <v>#N/A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8.75" x14ac:dyDescent="0.25">
      <c r="A167" s="6">
        <f t="shared" si="4"/>
        <v>0</v>
      </c>
      <c r="B167" s="7" t="e">
        <f t="array" aca="1" ref="B167" ca="1">OFFSET(C167,,MATCH(TRUE,C167:AI167&lt;&gt;"",0)-1)</f>
        <v>#N/A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8.75" x14ac:dyDescent="0.25">
      <c r="A168" s="6">
        <f t="shared" si="4"/>
        <v>0</v>
      </c>
      <c r="B168" s="7" t="e">
        <f t="array" aca="1" ref="B168" ca="1">OFFSET(C168,,MATCH(TRUE,C168:AI168&lt;&gt;"",0)-1)</f>
        <v>#N/A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8.75" x14ac:dyDescent="0.25">
      <c r="A169" s="6">
        <f t="shared" si="4"/>
        <v>0</v>
      </c>
      <c r="B169" s="7" t="e">
        <f t="array" aca="1" ref="B169" ca="1">OFFSET(C169,,MATCH(TRUE,C169:AI169&lt;&gt;"",0)-1)</f>
        <v>#N/A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8.75" x14ac:dyDescent="0.25">
      <c r="A170" s="6">
        <f t="shared" si="4"/>
        <v>0</v>
      </c>
      <c r="B170" s="7" t="e">
        <f t="array" aca="1" ref="B170" ca="1">OFFSET(C170,,MATCH(TRUE,C170:AI170&lt;&gt;"",0)-1)</f>
        <v>#N/A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8.75" x14ac:dyDescent="0.25">
      <c r="A171" s="6">
        <f t="shared" si="4"/>
        <v>0</v>
      </c>
      <c r="B171" s="7" t="e">
        <f t="array" aca="1" ref="B171" ca="1">OFFSET(C171,,MATCH(TRUE,C171:AI171&lt;&gt;"",0)-1)</f>
        <v>#N/A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8.75" x14ac:dyDescent="0.25">
      <c r="A172" s="6">
        <f t="shared" si="4"/>
        <v>0</v>
      </c>
      <c r="B172" s="7" t="e">
        <f t="array" aca="1" ref="B172" ca="1">OFFSET(C172,,MATCH(TRUE,C172:AI172&lt;&gt;"",0)-1)</f>
        <v>#N/A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8.75" x14ac:dyDescent="0.25">
      <c r="A173" s="6">
        <f t="shared" si="4"/>
        <v>0</v>
      </c>
      <c r="B173" s="7" t="e">
        <f t="array" aca="1" ref="B173" ca="1">OFFSET(C173,,MATCH(TRUE,C173:AI173&lt;&gt;"",0)-1)</f>
        <v>#N/A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8.75" x14ac:dyDescent="0.25">
      <c r="A174" s="6">
        <f t="shared" si="4"/>
        <v>0</v>
      </c>
      <c r="B174" s="7" t="e">
        <f t="array" aca="1" ref="B174" ca="1">OFFSET(C174,,MATCH(TRUE,C174:AI174&lt;&gt;"",0)-1)</f>
        <v>#N/A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8.75" x14ac:dyDescent="0.25">
      <c r="A175" s="6">
        <f t="shared" si="4"/>
        <v>0</v>
      </c>
      <c r="B175" s="7" t="e">
        <f t="array" aca="1" ref="B175" ca="1">OFFSET(C175,,MATCH(TRUE,C175:AI175&lt;&gt;"",0)-1)</f>
        <v>#N/A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8.75" x14ac:dyDescent="0.25">
      <c r="A176" s="6">
        <f t="shared" si="4"/>
        <v>0</v>
      </c>
      <c r="B176" s="7" t="e">
        <f t="array" aca="1" ref="B176" ca="1">OFFSET(C176,,MATCH(TRUE,C176:AI176&lt;&gt;"",0)-1)</f>
        <v>#N/A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8.75" x14ac:dyDescent="0.25">
      <c r="A177" s="6">
        <f t="shared" si="4"/>
        <v>0</v>
      </c>
      <c r="B177" s="7" t="e">
        <f t="array" aca="1" ref="B177" ca="1">OFFSET(C177,,MATCH(TRUE,C177:AI177&lt;&gt;"",0)-1)</f>
        <v>#N/A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8.75" x14ac:dyDescent="0.25">
      <c r="A178" s="6">
        <f t="shared" si="4"/>
        <v>0</v>
      </c>
      <c r="B178" s="7" t="e">
        <f t="array" aca="1" ref="B178" ca="1">OFFSET(C178,,MATCH(TRUE,C178:AI178&lt;&gt;"",0)-1)</f>
        <v>#N/A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8.75" x14ac:dyDescent="0.25">
      <c r="A179" s="6">
        <f t="shared" si="4"/>
        <v>0</v>
      </c>
      <c r="B179" s="7" t="e">
        <f t="array" aca="1" ref="B179" ca="1">OFFSET(C179,,MATCH(TRUE,C179:AI179&lt;&gt;"",0)-1)</f>
        <v>#N/A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8.75" x14ac:dyDescent="0.25">
      <c r="A180" s="6">
        <f t="shared" si="4"/>
        <v>0</v>
      </c>
      <c r="B180" s="7" t="e">
        <f t="array" aca="1" ref="B180" ca="1">OFFSET(C180,,MATCH(TRUE,C180:AI180&lt;&gt;"",0)-1)</f>
        <v>#N/A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8.75" x14ac:dyDescent="0.25">
      <c r="A181" s="6">
        <f t="shared" si="4"/>
        <v>0</v>
      </c>
      <c r="B181" s="7" t="e">
        <f t="array" aca="1" ref="B181" ca="1">OFFSET(C181,,MATCH(TRUE,C181:AI181&lt;&gt;"",0)-1)</f>
        <v>#N/A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8.75" x14ac:dyDescent="0.25">
      <c r="A182" s="6">
        <f t="shared" si="4"/>
        <v>0</v>
      </c>
      <c r="B182" s="7" t="e">
        <f t="array" aca="1" ref="B182" ca="1">OFFSET(C182,,MATCH(TRUE,C182:AI182&lt;&gt;"",0)-1)</f>
        <v>#N/A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8.75" x14ac:dyDescent="0.25">
      <c r="A183" s="6">
        <f t="shared" si="4"/>
        <v>0</v>
      </c>
      <c r="B183" s="7" t="e">
        <f t="array" aca="1" ref="B183" ca="1">OFFSET(C183,,MATCH(TRUE,C183:AI183&lt;&gt;"",0)-1)</f>
        <v>#N/A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8.75" x14ac:dyDescent="0.25">
      <c r="A184" s="6">
        <f t="shared" si="4"/>
        <v>0</v>
      </c>
      <c r="B184" s="7" t="e">
        <f t="array" aca="1" ref="B184" ca="1">OFFSET(C184,,MATCH(TRUE,C184:AI184&lt;&gt;"",0)-1)</f>
        <v>#N/A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8.75" x14ac:dyDescent="0.25">
      <c r="A185" s="6">
        <f t="shared" si="4"/>
        <v>0</v>
      </c>
      <c r="B185" s="7" t="e">
        <f t="array" aca="1" ref="B185" ca="1">OFFSET(C185,,MATCH(TRUE,C185:AI185&lt;&gt;"",0)-1)</f>
        <v>#N/A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8.75" x14ac:dyDescent="0.25">
      <c r="A186" s="6">
        <f t="shared" si="4"/>
        <v>0</v>
      </c>
      <c r="B186" s="7" t="e">
        <f t="array" aca="1" ref="B186" ca="1">OFFSET(C186,,MATCH(TRUE,C186:AI186&lt;&gt;"",0)-1)</f>
        <v>#N/A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8.75" x14ac:dyDescent="0.25">
      <c r="A187" s="6">
        <f t="shared" si="4"/>
        <v>0</v>
      </c>
      <c r="B187" s="7" t="e">
        <f t="array" aca="1" ref="B187" ca="1">OFFSET(C187,,MATCH(TRUE,C187:AI187&lt;&gt;"",0)-1)</f>
        <v>#N/A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8.75" x14ac:dyDescent="0.25">
      <c r="A188" s="6">
        <f t="shared" si="4"/>
        <v>0</v>
      </c>
      <c r="B188" s="7" t="e">
        <f t="array" aca="1" ref="B188" ca="1">OFFSET(C188,,MATCH(TRUE,C188:AI188&lt;&gt;"",0)-1)</f>
        <v>#N/A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8.75" x14ac:dyDescent="0.25">
      <c r="A189" s="6">
        <f t="shared" si="4"/>
        <v>0</v>
      </c>
      <c r="B189" s="7" t="e">
        <f t="array" aca="1" ref="B189" ca="1">OFFSET(C189,,MATCH(TRUE,C189:AI189&lt;&gt;"",0)-1)</f>
        <v>#N/A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8.75" x14ac:dyDescent="0.25">
      <c r="A190" s="6">
        <f t="shared" si="4"/>
        <v>0</v>
      </c>
      <c r="B190" s="7" t="e">
        <f t="array" aca="1" ref="B190" ca="1">OFFSET(C190,,MATCH(TRUE,C190:AI190&lt;&gt;"",0)-1)</f>
        <v>#N/A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8.75" x14ac:dyDescent="0.25">
      <c r="A191" s="6">
        <f t="shared" si="4"/>
        <v>0</v>
      </c>
      <c r="B191" s="7" t="e">
        <f t="array" aca="1" ref="B191" ca="1">OFFSET(C191,,MATCH(TRUE,C191:AI191&lt;&gt;"",0)-1)</f>
        <v>#N/A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8.75" x14ac:dyDescent="0.25">
      <c r="A192" s="6">
        <f t="shared" si="4"/>
        <v>0</v>
      </c>
      <c r="B192" s="7" t="e">
        <f t="array" aca="1" ref="B192" ca="1">OFFSET(C192,,MATCH(TRUE,C192:AI192&lt;&gt;"",0)-1)</f>
        <v>#N/A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7" ht="18.75" x14ac:dyDescent="0.25">
      <c r="A193" s="6">
        <f t="shared" si="4"/>
        <v>0</v>
      </c>
      <c r="B193" s="7" t="e">
        <f t="array" aca="1" ref="B193" ca="1">OFFSET(C193,,MATCH(TRUE,C193:AI193&lt;&gt;"",0)-1)</f>
        <v>#N/A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7" ht="18.75" x14ac:dyDescent="0.25">
      <c r="A194" s="6">
        <f t="shared" si="4"/>
        <v>0</v>
      </c>
      <c r="B194" s="7" t="e">
        <f t="array" aca="1" ref="B194" ca="1">OFFSET(C194,,MATCH(TRUE,C194:AI194&lt;&gt;"",0)-1)</f>
        <v>#N/A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7" ht="18.75" x14ac:dyDescent="0.25">
      <c r="A195" s="6">
        <f t="shared" si="4"/>
        <v>0</v>
      </c>
      <c r="B195" s="7" t="e">
        <f t="array" aca="1" ref="B195" ca="1">OFFSET(C195,,MATCH(TRUE,C195:AI195&lt;&gt;"",0)-1)</f>
        <v>#N/A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8.75" x14ac:dyDescent="0.25">
      <c r="A196" s="6">
        <f t="shared" ref="A196:A259" si="5">(1-COUNTBLANK(C196:R196)/COLUMNS(C196:R196))</f>
        <v>0</v>
      </c>
      <c r="B196" s="7" t="e">
        <f t="array" aca="1" ref="B196" ca="1">OFFSET(C196,,MATCH(TRUE,C196:AI196&lt;&gt;"",0)-1)</f>
        <v>#N/A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7" ht="18.75" x14ac:dyDescent="0.25">
      <c r="A197" s="6">
        <f t="shared" si="5"/>
        <v>0</v>
      </c>
      <c r="B197" s="7" t="e">
        <f t="array" aca="1" ref="B197" ca="1">OFFSET(C197,,MATCH(TRUE,C197:AI197&lt;&gt;"",0)-1)</f>
        <v>#N/A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7" ht="18.75" x14ac:dyDescent="0.25">
      <c r="A198" s="6">
        <f t="shared" si="5"/>
        <v>0</v>
      </c>
      <c r="B198" s="7" t="e">
        <f t="array" aca="1" ref="B198" ca="1">OFFSET(C198,,MATCH(TRUE,C198:AI198&lt;&gt;"",0)-1)</f>
        <v>#N/A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7" ht="18.75" x14ac:dyDescent="0.25">
      <c r="A199" s="6">
        <f t="shared" si="5"/>
        <v>0</v>
      </c>
      <c r="B199" s="7" t="e">
        <f t="array" aca="1" ref="B199" ca="1">OFFSET(C199,,MATCH(TRUE,C199:AI199&lt;&gt;"",0)-1)</f>
        <v>#N/A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7" ht="18.75" x14ac:dyDescent="0.25">
      <c r="A200" s="6">
        <f t="shared" si="5"/>
        <v>0</v>
      </c>
      <c r="B200" s="7" t="e">
        <f t="array" aca="1" ref="B200" ca="1">OFFSET(C200,,MATCH(TRUE,C200:AI200&lt;&gt;"",0)-1)</f>
        <v>#N/A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7" ht="18.75" x14ac:dyDescent="0.25">
      <c r="A201" s="6">
        <f t="shared" si="5"/>
        <v>0</v>
      </c>
      <c r="B201" s="7" t="e">
        <f t="array" aca="1" ref="B201" ca="1">OFFSET(C201,,MATCH(TRUE,C201:AI201&lt;&gt;"",0)-1)</f>
        <v>#N/A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7" ht="18.75" x14ac:dyDescent="0.25">
      <c r="A202" s="6">
        <f t="shared" si="5"/>
        <v>0</v>
      </c>
      <c r="B202" s="7" t="e">
        <f t="array" aca="1" ref="B202" ca="1">OFFSET(C202,,MATCH(TRUE,C202:AI202&lt;&gt;"",0)-1)</f>
        <v>#N/A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7" ht="18.75" x14ac:dyDescent="0.25">
      <c r="A203" s="6">
        <f t="shared" si="5"/>
        <v>0</v>
      </c>
      <c r="B203" s="7" t="e">
        <f t="array" aca="1" ref="B203" ca="1">OFFSET(C203,,MATCH(TRUE,C203:AI203&lt;&gt;"",0)-1)</f>
        <v>#N/A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7" ht="18.75" x14ac:dyDescent="0.25">
      <c r="A204" s="6">
        <f t="shared" si="5"/>
        <v>0</v>
      </c>
      <c r="B204" s="7" t="e">
        <f t="array" aca="1" ref="B204" ca="1">OFFSET(C204,,MATCH(TRUE,C204:AI204&lt;&gt;"",0)-1)</f>
        <v>#N/A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7" ht="18.75" x14ac:dyDescent="0.25">
      <c r="A205" s="6">
        <f t="shared" si="5"/>
        <v>0</v>
      </c>
      <c r="B205" s="7" t="e">
        <f t="array" aca="1" ref="B205" ca="1">OFFSET(C205,,MATCH(TRUE,C205:AI205&lt;&gt;"",0)-1)</f>
        <v>#N/A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7" ht="18.75" x14ac:dyDescent="0.25">
      <c r="A206" s="6">
        <f t="shared" si="5"/>
        <v>0</v>
      </c>
      <c r="B206" s="7" t="e">
        <f t="array" aca="1" ref="B206" ca="1">OFFSET(C206,,MATCH(TRUE,C206:AI206&lt;&gt;"",0)-1)</f>
        <v>#N/A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7" ht="18.75" x14ac:dyDescent="0.25">
      <c r="A207" s="6">
        <f t="shared" si="5"/>
        <v>0</v>
      </c>
      <c r="B207" s="7" t="e">
        <f t="array" aca="1" ref="B207" ca="1">OFFSET(C207,,MATCH(TRUE,C207:AI207&lt;&gt;"",0)-1)</f>
        <v>#N/A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7" ht="18.75" x14ac:dyDescent="0.25">
      <c r="A208" s="6">
        <f t="shared" si="5"/>
        <v>0</v>
      </c>
      <c r="B208" s="7" t="e">
        <f t="array" aca="1" ref="B208" ca="1">OFFSET(C208,,MATCH(TRUE,C208:AI208&lt;&gt;"",0)-1)</f>
        <v>#N/A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8.75" x14ac:dyDescent="0.25">
      <c r="A209" s="6">
        <f t="shared" si="5"/>
        <v>0</v>
      </c>
      <c r="B209" s="7" t="e">
        <f t="array" aca="1" ref="B209" ca="1">OFFSET(C209,,MATCH(TRUE,C209:AI209&lt;&gt;"",0)-1)</f>
        <v>#N/A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8.75" x14ac:dyDescent="0.25">
      <c r="A210" s="6">
        <f t="shared" si="5"/>
        <v>0</v>
      </c>
      <c r="B210" s="7" t="e">
        <f t="array" aca="1" ref="B210" ca="1">OFFSET(C210,,MATCH(TRUE,C210:AI210&lt;&gt;"",0)-1)</f>
        <v>#N/A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8.75" x14ac:dyDescent="0.25">
      <c r="A211" s="6">
        <f t="shared" si="5"/>
        <v>0</v>
      </c>
      <c r="B211" s="7" t="e">
        <f t="array" aca="1" ref="B211" ca="1">OFFSET(C211,,MATCH(TRUE,C211:AI211&lt;&gt;"",0)-1)</f>
        <v>#N/A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8.75" x14ac:dyDescent="0.25">
      <c r="A212" s="6">
        <f t="shared" si="5"/>
        <v>0</v>
      </c>
      <c r="B212" s="7" t="e">
        <f t="array" aca="1" ref="B212" ca="1">OFFSET(C212,,MATCH(TRUE,C212:AI212&lt;&gt;"",0)-1)</f>
        <v>#N/A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8.75" x14ac:dyDescent="0.25">
      <c r="A213" s="6">
        <f t="shared" si="5"/>
        <v>0</v>
      </c>
      <c r="B213" s="7" t="e">
        <f t="array" aca="1" ref="B213" ca="1">OFFSET(C213,,MATCH(TRUE,C213:AI213&lt;&gt;"",0)-1)</f>
        <v>#N/A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8.75" x14ac:dyDescent="0.25">
      <c r="A214" s="6">
        <f t="shared" si="5"/>
        <v>0</v>
      </c>
      <c r="B214" s="7" t="e">
        <f t="array" aca="1" ref="B214" ca="1">OFFSET(C214,,MATCH(TRUE,C214:AI214&lt;&gt;"",0)-1)</f>
        <v>#N/A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8.75" x14ac:dyDescent="0.25">
      <c r="A215" s="6">
        <f t="shared" si="5"/>
        <v>0</v>
      </c>
      <c r="B215" s="7" t="e">
        <f t="array" aca="1" ref="B215" ca="1">OFFSET(C215,,MATCH(TRUE,C215:AI215&lt;&gt;"",0)-1)</f>
        <v>#N/A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8.75" x14ac:dyDescent="0.25">
      <c r="A216" s="6">
        <f t="shared" si="5"/>
        <v>0</v>
      </c>
      <c r="B216" s="7" t="e">
        <f t="array" aca="1" ref="B216" ca="1">OFFSET(C216,,MATCH(TRUE,C216:AI216&lt;&gt;"",0)-1)</f>
        <v>#N/A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8.75" x14ac:dyDescent="0.25">
      <c r="A217" s="6">
        <f t="shared" si="5"/>
        <v>0</v>
      </c>
      <c r="B217" s="7" t="e">
        <f t="array" aca="1" ref="B217" ca="1">OFFSET(C217,,MATCH(TRUE,C217:AI217&lt;&gt;"",0)-1)</f>
        <v>#N/A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8.75" x14ac:dyDescent="0.25">
      <c r="A218" s="6">
        <f t="shared" si="5"/>
        <v>0</v>
      </c>
      <c r="B218" s="7" t="e">
        <f t="array" aca="1" ref="B218" ca="1">OFFSET(C218,,MATCH(TRUE,C218:AI218&lt;&gt;"",0)-1)</f>
        <v>#N/A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8.75" x14ac:dyDescent="0.25">
      <c r="A219" s="6">
        <f t="shared" si="5"/>
        <v>0</v>
      </c>
      <c r="B219" s="7" t="e">
        <f t="array" aca="1" ref="B219" ca="1">OFFSET(C219,,MATCH(TRUE,C219:AI219&lt;&gt;"",0)-1)</f>
        <v>#N/A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8.75" x14ac:dyDescent="0.25">
      <c r="A220" s="6">
        <f t="shared" si="5"/>
        <v>0</v>
      </c>
      <c r="B220" s="7" t="e">
        <f t="array" aca="1" ref="B220" ca="1">OFFSET(C220,,MATCH(TRUE,C220:AI220&lt;&gt;"",0)-1)</f>
        <v>#N/A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8.75" x14ac:dyDescent="0.25">
      <c r="A221" s="6">
        <f t="shared" si="5"/>
        <v>0</v>
      </c>
      <c r="B221" s="7" t="e">
        <f t="array" aca="1" ref="B221" ca="1">OFFSET(C221,,MATCH(TRUE,C221:AI221&lt;&gt;"",0)-1)</f>
        <v>#N/A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8.75" x14ac:dyDescent="0.25">
      <c r="A222" s="6">
        <f t="shared" si="5"/>
        <v>0</v>
      </c>
      <c r="B222" s="7" t="e">
        <f t="array" aca="1" ref="B222" ca="1">OFFSET(C222,,MATCH(TRUE,C222:AI222&lt;&gt;"",0)-1)</f>
        <v>#N/A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8.75" x14ac:dyDescent="0.25">
      <c r="A223" s="6">
        <f t="shared" si="5"/>
        <v>0</v>
      </c>
      <c r="B223" s="7" t="e">
        <f t="array" aca="1" ref="B223" ca="1">OFFSET(C223,,MATCH(TRUE,C223:AI223&lt;&gt;"",0)-1)</f>
        <v>#N/A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8.75" x14ac:dyDescent="0.25">
      <c r="A224" s="6">
        <f t="shared" si="5"/>
        <v>0</v>
      </c>
      <c r="B224" s="7" t="e">
        <f t="array" aca="1" ref="B224" ca="1">OFFSET(C224,,MATCH(TRUE,C224:AI224&lt;&gt;"",0)-1)</f>
        <v>#N/A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8.75" x14ac:dyDescent="0.25">
      <c r="A225" s="6">
        <f t="shared" si="5"/>
        <v>0</v>
      </c>
      <c r="B225" s="7" t="e">
        <f t="array" aca="1" ref="B225" ca="1">OFFSET(C225,,MATCH(TRUE,C225:AI225&lt;&gt;"",0)-1)</f>
        <v>#N/A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8.75" x14ac:dyDescent="0.25">
      <c r="A226" s="6">
        <f t="shared" si="5"/>
        <v>0</v>
      </c>
      <c r="B226" s="7" t="e">
        <f t="array" aca="1" ref="B226" ca="1">OFFSET(C226,,MATCH(TRUE,C226:AI226&lt;&gt;"",0)-1)</f>
        <v>#N/A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8.75" x14ac:dyDescent="0.25">
      <c r="A227" s="6">
        <f t="shared" si="5"/>
        <v>0</v>
      </c>
      <c r="B227" s="7" t="e">
        <f t="array" aca="1" ref="B227" ca="1">OFFSET(C227,,MATCH(TRUE,C227:AI227&lt;&gt;"",0)-1)</f>
        <v>#N/A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8.75" x14ac:dyDescent="0.25">
      <c r="A228" s="6">
        <f t="shared" si="5"/>
        <v>0</v>
      </c>
      <c r="B228" s="7" t="e">
        <f t="array" aca="1" ref="B228" ca="1">OFFSET(C228,,MATCH(TRUE,C228:AI228&lt;&gt;"",0)-1)</f>
        <v>#N/A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8.75" x14ac:dyDescent="0.25">
      <c r="A229" s="6">
        <f t="shared" si="5"/>
        <v>0</v>
      </c>
      <c r="B229" s="7" t="e">
        <f t="array" aca="1" ref="B229" ca="1">OFFSET(C229,,MATCH(TRUE,C229:AI229&lt;&gt;"",0)-1)</f>
        <v>#N/A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8.75" x14ac:dyDescent="0.25">
      <c r="A230" s="6">
        <f t="shared" si="5"/>
        <v>0</v>
      </c>
      <c r="B230" s="7" t="e">
        <f t="array" aca="1" ref="B230" ca="1">OFFSET(C230,,MATCH(TRUE,C230:AI230&lt;&gt;"",0)-1)</f>
        <v>#N/A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8.75" x14ac:dyDescent="0.25">
      <c r="A231" s="6">
        <f t="shared" si="5"/>
        <v>0</v>
      </c>
      <c r="B231" s="7" t="e">
        <f t="array" aca="1" ref="B231" ca="1">OFFSET(C231,,MATCH(TRUE,C231:AI231&lt;&gt;"",0)-1)</f>
        <v>#N/A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8.75" x14ac:dyDescent="0.25">
      <c r="A232" s="6">
        <f t="shared" si="5"/>
        <v>0</v>
      </c>
      <c r="B232" s="7" t="e">
        <f t="array" aca="1" ref="B232" ca="1">OFFSET(C232,,MATCH(TRUE,C232:AI232&lt;&gt;"",0)-1)</f>
        <v>#N/A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8.75" x14ac:dyDescent="0.25">
      <c r="A233" s="6">
        <f t="shared" si="5"/>
        <v>0</v>
      </c>
      <c r="B233" s="7" t="e">
        <f t="array" aca="1" ref="B233" ca="1">OFFSET(C233,,MATCH(TRUE,C233:AI233&lt;&gt;"",0)-1)</f>
        <v>#N/A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8.75" x14ac:dyDescent="0.25">
      <c r="A234" s="6">
        <f t="shared" si="5"/>
        <v>0</v>
      </c>
      <c r="B234" s="7" t="e">
        <f t="array" aca="1" ref="B234" ca="1">OFFSET(C234,,MATCH(TRUE,C234:AI234&lt;&gt;"",0)-1)</f>
        <v>#N/A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8.75" x14ac:dyDescent="0.25">
      <c r="A235" s="6">
        <f t="shared" si="5"/>
        <v>0</v>
      </c>
      <c r="B235" s="7" t="e">
        <f t="array" aca="1" ref="B235" ca="1">OFFSET(C235,,MATCH(TRUE,C235:AI235&lt;&gt;"",0)-1)</f>
        <v>#N/A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8.75" x14ac:dyDescent="0.25">
      <c r="A236" s="6">
        <f t="shared" si="5"/>
        <v>0</v>
      </c>
      <c r="B236" s="7" t="e">
        <f t="array" aca="1" ref="B236" ca="1">OFFSET(C236,,MATCH(TRUE,C236:AI236&lt;&gt;"",0)-1)</f>
        <v>#N/A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8.75" x14ac:dyDescent="0.25">
      <c r="A237" s="6">
        <f t="shared" si="5"/>
        <v>0</v>
      </c>
      <c r="B237" s="7" t="e">
        <f t="array" aca="1" ref="B237" ca="1">OFFSET(C237,,MATCH(TRUE,C237:AI237&lt;&gt;"",0)-1)</f>
        <v>#N/A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8.75" x14ac:dyDescent="0.25">
      <c r="A238" s="6">
        <f t="shared" si="5"/>
        <v>0</v>
      </c>
      <c r="B238" s="7" t="e">
        <f t="array" aca="1" ref="B238" ca="1">OFFSET(C238,,MATCH(TRUE,C238:AI238&lt;&gt;"",0)-1)</f>
        <v>#N/A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8.75" x14ac:dyDescent="0.25">
      <c r="A239" s="6">
        <f t="shared" si="5"/>
        <v>0</v>
      </c>
      <c r="B239" s="7" t="e">
        <f t="array" aca="1" ref="B239" ca="1">OFFSET(C239,,MATCH(TRUE,C239:AI239&lt;&gt;"",0)-1)</f>
        <v>#N/A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8.75" x14ac:dyDescent="0.25">
      <c r="A240" s="6">
        <f t="shared" si="5"/>
        <v>0</v>
      </c>
      <c r="B240" s="7" t="e">
        <f t="array" aca="1" ref="B240" ca="1">OFFSET(C240,,MATCH(TRUE,C240:AI240&lt;&gt;"",0)-1)</f>
        <v>#N/A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8.75" x14ac:dyDescent="0.25">
      <c r="A241" s="6">
        <f t="shared" si="5"/>
        <v>0</v>
      </c>
      <c r="B241" s="7" t="e">
        <f t="array" aca="1" ref="B241" ca="1">OFFSET(C241,,MATCH(TRUE,C241:AI241&lt;&gt;"",0)-1)</f>
        <v>#N/A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8.75" x14ac:dyDescent="0.25">
      <c r="A242" s="6">
        <f t="shared" si="5"/>
        <v>0</v>
      </c>
      <c r="B242" s="7" t="e">
        <f t="array" aca="1" ref="B242" ca="1">OFFSET(C242,,MATCH(TRUE,C242:AI242&lt;&gt;"",0)-1)</f>
        <v>#N/A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8.75" x14ac:dyDescent="0.25">
      <c r="A243" s="6">
        <f t="shared" si="5"/>
        <v>0</v>
      </c>
      <c r="B243" s="7" t="e">
        <f t="array" aca="1" ref="B243" ca="1">OFFSET(C243,,MATCH(TRUE,C243:AI243&lt;&gt;"",0)-1)</f>
        <v>#N/A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8.75" x14ac:dyDescent="0.25">
      <c r="A244" s="6">
        <f t="shared" si="5"/>
        <v>0</v>
      </c>
      <c r="B244" s="7" t="e">
        <f t="array" aca="1" ref="B244" ca="1">OFFSET(C244,,MATCH(TRUE,C244:AI244&lt;&gt;"",0)-1)</f>
        <v>#N/A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8.75" x14ac:dyDescent="0.25">
      <c r="A245" s="6">
        <f t="shared" si="5"/>
        <v>0</v>
      </c>
      <c r="B245" s="7" t="e">
        <f t="array" aca="1" ref="B245" ca="1">OFFSET(C245,,MATCH(TRUE,C245:AI245&lt;&gt;"",0)-1)</f>
        <v>#N/A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8.75" x14ac:dyDescent="0.25">
      <c r="A246" s="6">
        <f t="shared" si="5"/>
        <v>0</v>
      </c>
      <c r="B246" s="7" t="e">
        <f t="array" aca="1" ref="B246" ca="1">OFFSET(C246,,MATCH(TRUE,C246:AI246&lt;&gt;"",0)-1)</f>
        <v>#N/A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8.75" x14ac:dyDescent="0.25">
      <c r="A247" s="6">
        <f t="shared" si="5"/>
        <v>0</v>
      </c>
      <c r="B247" s="7" t="e">
        <f t="array" aca="1" ref="B247" ca="1">OFFSET(C247,,MATCH(TRUE,C247:AI247&lt;&gt;"",0)-1)</f>
        <v>#N/A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8.75" x14ac:dyDescent="0.25">
      <c r="A248" s="6">
        <f t="shared" si="5"/>
        <v>0</v>
      </c>
      <c r="B248" s="7" t="e">
        <f t="array" aca="1" ref="B248" ca="1">OFFSET(C248,,MATCH(TRUE,C248:AI248&lt;&gt;"",0)-1)</f>
        <v>#N/A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8.75" x14ac:dyDescent="0.25">
      <c r="A249" s="6">
        <f t="shared" si="5"/>
        <v>0</v>
      </c>
      <c r="B249" s="7" t="e">
        <f t="array" aca="1" ref="B249" ca="1">OFFSET(C249,,MATCH(TRUE,C249:AI249&lt;&gt;"",0)-1)</f>
        <v>#N/A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8.75" x14ac:dyDescent="0.25">
      <c r="A250" s="6">
        <f t="shared" si="5"/>
        <v>0</v>
      </c>
      <c r="B250" s="7" t="e">
        <f t="array" aca="1" ref="B250" ca="1">OFFSET(C250,,MATCH(TRUE,C250:AI250&lt;&gt;"",0)-1)</f>
        <v>#N/A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8.75" x14ac:dyDescent="0.25">
      <c r="A251" s="6">
        <f t="shared" si="5"/>
        <v>0</v>
      </c>
      <c r="B251" s="7" t="e">
        <f t="array" aca="1" ref="B251" ca="1">OFFSET(C251,,MATCH(TRUE,C251:AI251&lt;&gt;"",0)-1)</f>
        <v>#N/A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8.75" x14ac:dyDescent="0.25">
      <c r="A252" s="6">
        <f t="shared" si="5"/>
        <v>0</v>
      </c>
      <c r="B252" s="7" t="e">
        <f t="array" aca="1" ref="B252" ca="1">OFFSET(C252,,MATCH(TRUE,C252:AI252&lt;&gt;"",0)-1)</f>
        <v>#N/A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8.75" x14ac:dyDescent="0.25">
      <c r="A253" s="6">
        <f t="shared" si="5"/>
        <v>0</v>
      </c>
      <c r="B253" s="7" t="e">
        <f t="array" aca="1" ref="B253" ca="1">OFFSET(C253,,MATCH(TRUE,C253:AI253&lt;&gt;"",0)-1)</f>
        <v>#N/A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8.75" x14ac:dyDescent="0.25">
      <c r="A254" s="6">
        <f t="shared" si="5"/>
        <v>0</v>
      </c>
      <c r="B254" s="7" t="e">
        <f t="array" aca="1" ref="B254" ca="1">OFFSET(C254,,MATCH(TRUE,C254:AI254&lt;&gt;"",0)-1)</f>
        <v>#N/A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8.75" x14ac:dyDescent="0.25">
      <c r="A255" s="6">
        <f t="shared" si="5"/>
        <v>0</v>
      </c>
      <c r="B255" s="7" t="e">
        <f t="array" aca="1" ref="B255" ca="1">OFFSET(C255,,MATCH(TRUE,C255:AI255&lt;&gt;"",0)-1)</f>
        <v>#N/A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8.75" x14ac:dyDescent="0.25">
      <c r="A256" s="6">
        <f t="shared" si="5"/>
        <v>0</v>
      </c>
      <c r="B256" s="7" t="e">
        <f t="array" aca="1" ref="B256" ca="1">OFFSET(C256,,MATCH(TRUE,C256:AI256&lt;&gt;"",0)-1)</f>
        <v>#N/A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8.75" x14ac:dyDescent="0.25">
      <c r="A257" s="6">
        <f t="shared" si="5"/>
        <v>0</v>
      </c>
      <c r="B257" s="7" t="e">
        <f t="array" aca="1" ref="B257" ca="1">OFFSET(C257,,MATCH(TRUE,C257:AI257&lt;&gt;"",0)-1)</f>
        <v>#N/A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8.75" x14ac:dyDescent="0.25">
      <c r="A258" s="6">
        <f t="shared" si="5"/>
        <v>0</v>
      </c>
      <c r="B258" s="7" t="e">
        <f t="array" aca="1" ref="B258" ca="1">OFFSET(C258,,MATCH(TRUE,C258:AI258&lt;&gt;"",0)-1)</f>
        <v>#N/A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8.75" x14ac:dyDescent="0.25">
      <c r="A259" s="6">
        <f t="shared" si="5"/>
        <v>0</v>
      </c>
      <c r="B259" s="7" t="e">
        <f t="array" aca="1" ref="B259" ca="1">OFFSET(C259,,MATCH(TRUE,C259:AI259&lt;&gt;"",0)-1)</f>
        <v>#N/A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8.75" x14ac:dyDescent="0.25">
      <c r="A260" s="6">
        <f t="shared" ref="A260:A280" si="6">(1-COUNTBLANK(C260:R260)/COLUMNS(C260:R260))</f>
        <v>0</v>
      </c>
      <c r="B260" s="7" t="e">
        <f t="array" aca="1" ref="B260" ca="1">OFFSET(C260,,MATCH(TRUE,C260:AI260&lt;&gt;"",0)-1)</f>
        <v>#N/A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8.75" x14ac:dyDescent="0.25">
      <c r="A261" s="6">
        <f t="shared" si="6"/>
        <v>0</v>
      </c>
      <c r="B261" s="7" t="e">
        <f t="array" aca="1" ref="B261" ca="1">OFFSET(C261,,MATCH(TRUE,C261:AI261&lt;&gt;"",0)-1)</f>
        <v>#N/A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8.75" x14ac:dyDescent="0.25">
      <c r="A262" s="6">
        <f t="shared" si="6"/>
        <v>0</v>
      </c>
      <c r="B262" s="7" t="e">
        <f t="array" aca="1" ref="B262" ca="1">OFFSET(C262,,MATCH(TRUE,C262:AI262&lt;&gt;"",0)-1)</f>
        <v>#N/A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8.75" x14ac:dyDescent="0.25">
      <c r="A263" s="6">
        <f t="shared" si="6"/>
        <v>0</v>
      </c>
      <c r="B263" s="7" t="e">
        <f t="array" aca="1" ref="B263" ca="1">OFFSET(C263,,MATCH(TRUE,C263:AI263&lt;&gt;"",0)-1)</f>
        <v>#N/A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8.75" x14ac:dyDescent="0.25">
      <c r="A264" s="6">
        <f t="shared" si="6"/>
        <v>0</v>
      </c>
      <c r="B264" s="7" t="e">
        <f t="array" aca="1" ref="B264" ca="1">OFFSET(C264,,MATCH(TRUE,C264:AI264&lt;&gt;"",0)-1)</f>
        <v>#N/A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8.75" x14ac:dyDescent="0.25">
      <c r="A265" s="6">
        <f t="shared" si="6"/>
        <v>0</v>
      </c>
      <c r="B265" s="7" t="e">
        <f t="array" aca="1" ref="B265" ca="1">OFFSET(C265,,MATCH(TRUE,C265:AI265&lt;&gt;"",0)-1)</f>
        <v>#N/A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8.75" x14ac:dyDescent="0.25">
      <c r="A266" s="6">
        <f t="shared" si="6"/>
        <v>0</v>
      </c>
      <c r="B266" s="7" t="e">
        <f t="array" aca="1" ref="B266" ca="1">OFFSET(C266,,MATCH(TRUE,C266:AI266&lt;&gt;"",0)-1)</f>
        <v>#N/A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8.75" x14ac:dyDescent="0.25">
      <c r="A267" s="6">
        <f t="shared" si="6"/>
        <v>0</v>
      </c>
      <c r="B267" s="7" t="e">
        <f t="array" aca="1" ref="B267" ca="1">OFFSET(C267,,MATCH(TRUE,C267:AI267&lt;&gt;"",0)-1)</f>
        <v>#N/A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8.75" x14ac:dyDescent="0.25">
      <c r="A268" s="6">
        <f t="shared" si="6"/>
        <v>0</v>
      </c>
      <c r="B268" s="7" t="e">
        <f t="array" aca="1" ref="B268" ca="1">OFFSET(C268,,MATCH(TRUE,C268:AI268&lt;&gt;"",0)-1)</f>
        <v>#N/A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8.75" x14ac:dyDescent="0.25">
      <c r="A269" s="6">
        <f t="shared" si="6"/>
        <v>0</v>
      </c>
      <c r="B269" s="7" t="e">
        <f t="array" aca="1" ref="B269" ca="1">OFFSET(C269,,MATCH(TRUE,C269:AI269&lt;&gt;"",0)-1)</f>
        <v>#N/A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8.75" x14ac:dyDescent="0.25">
      <c r="A270" s="6">
        <f t="shared" si="6"/>
        <v>0</v>
      </c>
      <c r="B270" s="7" t="e">
        <f t="array" aca="1" ref="B270" ca="1">OFFSET(C270,,MATCH(TRUE,C270:AI270&lt;&gt;"",0)-1)</f>
        <v>#N/A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8.75" x14ac:dyDescent="0.25">
      <c r="A271" s="6">
        <f t="shared" si="6"/>
        <v>0</v>
      </c>
      <c r="B271" s="7" t="e">
        <f t="array" aca="1" ref="B271" ca="1">OFFSET(C271,,MATCH(TRUE,C271:AI271&lt;&gt;"",0)-1)</f>
        <v>#N/A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8.75" x14ac:dyDescent="0.25">
      <c r="A272" s="6">
        <f t="shared" si="6"/>
        <v>0</v>
      </c>
      <c r="B272" s="7" t="e">
        <f t="array" aca="1" ref="B272" ca="1">OFFSET(C272,,MATCH(TRUE,C272:AI272&lt;&gt;"",0)-1)</f>
        <v>#N/A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8.75" x14ac:dyDescent="0.25">
      <c r="A273" s="6">
        <f t="shared" si="6"/>
        <v>0</v>
      </c>
      <c r="B273" s="7" t="e">
        <f t="array" aca="1" ref="B273" ca="1">OFFSET(C273,,MATCH(TRUE,C273:AI273&lt;&gt;"",0)-1)</f>
        <v>#N/A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8.75" x14ac:dyDescent="0.25">
      <c r="A274" s="6">
        <f t="shared" si="6"/>
        <v>0</v>
      </c>
      <c r="B274" s="7" t="e">
        <f t="array" aca="1" ref="B274" ca="1">OFFSET(C274,,MATCH(TRUE,C274:AI274&lt;&gt;"",0)-1)</f>
        <v>#N/A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8.75" x14ac:dyDescent="0.25">
      <c r="A275" s="6">
        <f t="shared" si="6"/>
        <v>0</v>
      </c>
      <c r="B275" s="7" t="e">
        <f t="array" aca="1" ref="B275" ca="1">OFFSET(C275,,MATCH(TRUE,C275:AI275&lt;&gt;"",0)-1)</f>
        <v>#N/A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8.75" x14ac:dyDescent="0.25">
      <c r="A276" s="6">
        <f t="shared" si="6"/>
        <v>0</v>
      </c>
      <c r="B276" s="7" t="e">
        <f t="array" aca="1" ref="B276" ca="1">OFFSET(C276,,MATCH(TRUE,C276:AI276&lt;&gt;"",0)-1)</f>
        <v>#N/A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8.75" x14ac:dyDescent="0.25">
      <c r="A277" s="6">
        <f t="shared" si="6"/>
        <v>0</v>
      </c>
      <c r="B277" s="7" t="e">
        <f t="array" aca="1" ref="B277" ca="1">OFFSET(C277,,MATCH(TRUE,C277:AI277&lt;&gt;"",0)-1)</f>
        <v>#N/A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8.75" x14ac:dyDescent="0.25">
      <c r="A278" s="6">
        <f t="shared" si="6"/>
        <v>0</v>
      </c>
      <c r="B278" s="7" t="e">
        <f t="array" aca="1" ref="B278" ca="1">OFFSET(C278,,MATCH(TRUE,C278:AI278&lt;&gt;"",0)-1)</f>
        <v>#N/A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8.75" x14ac:dyDescent="0.25">
      <c r="A279" s="6">
        <f t="shared" si="6"/>
        <v>0</v>
      </c>
      <c r="B279" s="7" t="e">
        <f t="array" aca="1" ref="B279" ca="1">OFFSET(C279,,MATCH(TRUE,C279:AI279&lt;&gt;"",0)-1)</f>
        <v>#N/A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8.75" x14ac:dyDescent="0.25">
      <c r="A280" s="6">
        <f t="shared" si="6"/>
        <v>0</v>
      </c>
      <c r="B280" s="7" t="e">
        <f t="array" aca="1" ref="B280" ca="1">OFFSET(C280,,MATCH(TRUE,C280:AI280&lt;&gt;"",0)-1)</f>
        <v>#N/A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25">
      <c r="B281" s="1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25">
      <c r="B282" s="1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25">
      <c r="B283" s="1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25">
      <c r="B284" s="1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25">
      <c r="B285" s="1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25">
      <c r="B286" s="1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25">
      <c r="B287" s="1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</sheetData>
  <mergeCells count="1">
    <mergeCell ref="A2:A4"/>
  </mergeCells>
  <conditionalFormatting sqref="A6:A280">
    <cfRule type="colorScale" priority="26">
      <colorScale>
        <cfvo type="num" val="0"/>
        <cfvo type="percentile" val="1"/>
        <cfvo type="max"/>
        <color theme="0"/>
        <color rgb="FFFF5050"/>
        <color rgb="FF92D050"/>
      </colorScale>
    </cfRule>
  </conditionalFormatting>
  <hyperlinks>
    <hyperlink ref="F4" r:id="rId1" xr:uid="{60FD6820-0804-42AC-8340-2918D88CF90F}"/>
    <hyperlink ref="E4" r:id="rId2" xr:uid="{01239CC5-2D2B-4668-94B8-FE7849E7D6D7}"/>
    <hyperlink ref="N4" r:id="rId3" xr:uid="{D06F043E-90DB-4B8D-BDD3-B8FE82355F81}"/>
    <hyperlink ref="O4" r:id="rId4" xr:uid="{E1C1AFA6-BC54-47E4-9316-C23036886EC3}"/>
    <hyperlink ref="H4" r:id="rId5" xr:uid="{7852533E-5011-472E-88EC-589B617BF108}"/>
    <hyperlink ref="D4" r:id="rId6" xr:uid="{CFBBA60E-2AB0-47A8-B492-AFA7BC45887C}"/>
    <hyperlink ref="C4" r:id="rId7" xr:uid="{3D769E89-65D5-4615-93E8-344C3E8D031E}"/>
    <hyperlink ref="K4" r:id="rId8" xr:uid="{F7BDC257-34C6-4F4C-A49E-EDE56E67C30E}"/>
    <hyperlink ref="R4" r:id="rId9" xr:uid="{4E1E2A23-F03B-4113-80DC-E0F42F67482D}"/>
    <hyperlink ref="I4" r:id="rId10" xr:uid="{A92C17CE-F55A-4ACE-9BA3-79BC67C20815}"/>
    <hyperlink ref="J4" r:id="rId11" xr:uid="{C4CB427C-52D3-4A51-A68F-8CB283E1CFC3}"/>
    <hyperlink ref="M4" r:id="rId12" xr:uid="{125F5EE1-F682-4CEC-A398-A746668385CF}"/>
    <hyperlink ref="L4" r:id="rId13" xr:uid="{542B17BA-1229-4872-BB0F-1E6A3D1DE3A0}"/>
    <hyperlink ref="G4" r:id="rId14" xr:uid="{6068609F-96B4-49F2-8F21-096CC197AD6D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5EA7-06A0-4FC9-A9D8-5854BA4A4FBA}">
  <dimension ref="A4:S220"/>
  <sheetViews>
    <sheetView zoomScale="70" zoomScaleNormal="70" workbookViewId="0">
      <selection activeCell="J106" sqref="J5:J106"/>
    </sheetView>
  </sheetViews>
  <sheetFormatPr defaultRowHeight="15" x14ac:dyDescent="0.25"/>
  <cols>
    <col min="1" max="1" width="64.42578125" bestFit="1" customWidth="1"/>
    <col min="8" max="8" width="9.7109375" bestFit="1" customWidth="1"/>
  </cols>
  <sheetData>
    <row r="4" spans="1:19" x14ac:dyDescent="0.25">
      <c r="S4" t="s">
        <v>896</v>
      </c>
    </row>
    <row r="5" spans="1:19" x14ac:dyDescent="0.25">
      <c r="A5" t="s">
        <v>1152</v>
      </c>
      <c r="I5" t="str">
        <f t="shared" ref="I5:I42" si="0">LEFT(A5,FIND(" ",A5,1))</f>
        <v xml:space="preserve">1 </v>
      </c>
      <c r="J5" t="str">
        <f t="shared" ref="J5:J42" si="1">MID(A5,FIND(" ",A5),FIND(".",A5,8)-FIND(" ",A5))</f>
        <v xml:space="preserve"> Información general</v>
      </c>
      <c r="S5">
        <f>((LEN(I5)-LEN(SUBSTITUTE(I5,".","")))/LEN("."))+1</f>
        <v>1</v>
      </c>
    </row>
    <row r="6" spans="1:19" x14ac:dyDescent="0.25">
      <c r="A6" t="s">
        <v>1153</v>
      </c>
      <c r="I6" t="str">
        <f t="shared" si="0"/>
        <v xml:space="preserve">1.1 </v>
      </c>
      <c r="J6" t="str">
        <f t="shared" si="1"/>
        <v xml:space="preserve"> Grupo de destino</v>
      </c>
      <c r="S6">
        <f t="shared" ref="S6:S28" si="2">((LEN(I6)-LEN(SUBSTITUTE(I6,".","")))/LEN("."))+1</f>
        <v>2</v>
      </c>
    </row>
    <row r="7" spans="1:19" x14ac:dyDescent="0.25">
      <c r="A7" t="s">
        <v>1154</v>
      </c>
      <c r="I7" t="str">
        <f t="shared" si="0"/>
        <v xml:space="preserve">1.2 </v>
      </c>
      <c r="J7" t="str">
        <f t="shared" si="1"/>
        <v xml:space="preserve"> Indicaciones sobre la documentación técnica</v>
      </c>
      <c r="S7">
        <f t="shared" si="2"/>
        <v>2</v>
      </c>
    </row>
    <row r="8" spans="1:19" x14ac:dyDescent="0.25">
      <c r="A8" t="s">
        <v>1155</v>
      </c>
      <c r="I8" t="str">
        <f t="shared" si="0"/>
        <v xml:space="preserve">1.3 </v>
      </c>
      <c r="J8" t="str">
        <f t="shared" si="1"/>
        <v xml:space="preserve"> Asignación de la máquina</v>
      </c>
      <c r="S8">
        <f t="shared" si="2"/>
        <v>2</v>
      </c>
    </row>
    <row r="9" spans="1:19" x14ac:dyDescent="0.25">
      <c r="A9" t="s">
        <v>1240</v>
      </c>
      <c r="I9" t="str">
        <f t="shared" si="0"/>
        <v xml:space="preserve">1.4 </v>
      </c>
      <c r="J9" t="str">
        <f t="shared" si="1"/>
        <v xml:space="preserve"> Servicio de atención al cliente</v>
      </c>
      <c r="S9">
        <f t="shared" si="2"/>
        <v>2</v>
      </c>
    </row>
    <row r="10" spans="1:19" x14ac:dyDescent="0.25">
      <c r="A10" t="s">
        <v>1241</v>
      </c>
      <c r="I10" t="str">
        <f t="shared" si="0"/>
        <v xml:space="preserve">1.5 </v>
      </c>
      <c r="J10" t="str">
        <f t="shared" si="1"/>
        <v xml:space="preserve"> Protección de la propiedad intelectual</v>
      </c>
      <c r="S10">
        <f t="shared" si="2"/>
        <v>2</v>
      </c>
    </row>
    <row r="11" spans="1:19" x14ac:dyDescent="0.25">
      <c r="A11" t="s">
        <v>1242</v>
      </c>
      <c r="I11" t="str">
        <f t="shared" si="0"/>
        <v xml:space="preserve">1.6 </v>
      </c>
      <c r="J11" t="str">
        <f t="shared" si="1"/>
        <v xml:space="preserve"> Indicaciones para la lectura </v>
      </c>
      <c r="S11">
        <f t="shared" si="2"/>
        <v>2</v>
      </c>
    </row>
    <row r="12" spans="1:19" x14ac:dyDescent="0.25">
      <c r="A12" t="s">
        <v>1243</v>
      </c>
      <c r="I12" t="str">
        <f t="shared" si="0"/>
        <v xml:space="preserve">2 </v>
      </c>
      <c r="J12" t="str">
        <f t="shared" si="1"/>
        <v xml:space="preserve"> Seguridad</v>
      </c>
      <c r="S12">
        <f t="shared" si="2"/>
        <v>1</v>
      </c>
    </row>
    <row r="13" spans="1:19" x14ac:dyDescent="0.25">
      <c r="A13" t="s">
        <v>1244</v>
      </c>
      <c r="I13" t="str">
        <f t="shared" si="0"/>
        <v xml:space="preserve">2.1 </v>
      </c>
      <c r="J13" t="str">
        <f t="shared" si="1"/>
        <v xml:space="preserve"> Función de las indicaciones de seguridad</v>
      </c>
      <c r="S13">
        <f t="shared" si="2"/>
        <v>2</v>
      </c>
    </row>
    <row r="14" spans="1:19" x14ac:dyDescent="0.25">
      <c r="A14" t="s">
        <v>1245</v>
      </c>
      <c r="I14" t="str">
        <f t="shared" si="0"/>
        <v xml:space="preserve">2.2 </v>
      </c>
      <c r="J14" t="str">
        <f t="shared" si="1"/>
        <v xml:space="preserve"> Utilización conforme al uso previsto</v>
      </c>
      <c r="S14">
        <f t="shared" si="2"/>
        <v>2</v>
      </c>
    </row>
    <row r="15" spans="1:19" x14ac:dyDescent="0.25">
      <c r="A15" t="s">
        <v>1246</v>
      </c>
      <c r="I15" t="str">
        <f t="shared" si="0"/>
        <v xml:space="preserve">2.3 </v>
      </c>
      <c r="J15" t="str">
        <f t="shared" si="1"/>
        <v xml:space="preserve"> Mal uso razonablemente previsible</v>
      </c>
      <c r="S15">
        <f t="shared" si="2"/>
        <v>2</v>
      </c>
    </row>
    <row r="16" spans="1:19" x14ac:dyDescent="0.25">
      <c r="A16" t="s">
        <v>1247</v>
      </c>
      <c r="I16" t="str">
        <f t="shared" si="0"/>
        <v xml:space="preserve">2.4 </v>
      </c>
      <c r="J16" t="str">
        <f t="shared" si="1"/>
        <v xml:space="preserve"> Obligaciones del explotador</v>
      </c>
      <c r="S16">
        <f t="shared" si="2"/>
        <v>2</v>
      </c>
    </row>
    <row r="17" spans="1:19" x14ac:dyDescent="0.25">
      <c r="A17" t="s">
        <v>1248</v>
      </c>
      <c r="I17" t="str">
        <f t="shared" si="0"/>
        <v xml:space="preserve">2.5 </v>
      </c>
      <c r="J17" t="str">
        <f t="shared" si="1"/>
        <v xml:space="preserve"> Requerimientos respecto del personal</v>
      </c>
      <c r="S17">
        <f t="shared" si="2"/>
        <v>2</v>
      </c>
    </row>
    <row r="18" spans="1:19" x14ac:dyDescent="0.25">
      <c r="A18" t="s">
        <v>1249</v>
      </c>
      <c r="I18" t="str">
        <f t="shared" si="0"/>
        <v xml:space="preserve">2.6 </v>
      </c>
      <c r="J18" t="str">
        <f t="shared" si="1"/>
        <v xml:space="preserve"> Equipo de protección</v>
      </c>
      <c r="S18">
        <f t="shared" si="2"/>
        <v>2</v>
      </c>
    </row>
    <row r="19" spans="1:19" x14ac:dyDescent="0.25">
      <c r="A19" t="s">
        <v>1250</v>
      </c>
      <c r="I19" t="str">
        <f t="shared" si="0"/>
        <v xml:space="preserve">2.7 </v>
      </c>
      <c r="J19" t="str">
        <f t="shared" si="1"/>
        <v xml:space="preserve"> Áreas de peligro y su señalización</v>
      </c>
      <c r="S19">
        <f t="shared" si="2"/>
        <v>2</v>
      </c>
    </row>
    <row r="20" spans="1:19" x14ac:dyDescent="0.25">
      <c r="A20" t="s">
        <v>1251</v>
      </c>
      <c r="I20" t="str">
        <f t="shared" si="0"/>
        <v xml:space="preserve">2.7.1 </v>
      </c>
      <c r="J20" t="str">
        <f t="shared" si="1"/>
        <v xml:space="preserve"> Símbolos de advertencia</v>
      </c>
      <c r="S20">
        <f t="shared" si="2"/>
        <v>3</v>
      </c>
    </row>
    <row r="21" spans="1:19" x14ac:dyDescent="0.25">
      <c r="A21" t="s">
        <v>1252</v>
      </c>
      <c r="I21" t="str">
        <f t="shared" si="0"/>
        <v xml:space="preserve">2.7.2 </v>
      </c>
      <c r="J21" t="str">
        <f t="shared" si="1"/>
        <v xml:space="preserve"> Símbolos de obligación</v>
      </c>
      <c r="S21">
        <f t="shared" si="2"/>
        <v>3</v>
      </c>
    </row>
    <row r="22" spans="1:19" x14ac:dyDescent="0.25">
      <c r="A22" t="s">
        <v>1253</v>
      </c>
      <c r="I22" t="str">
        <f t="shared" si="0"/>
        <v xml:space="preserve">2.8 </v>
      </c>
      <c r="J22" t="str">
        <f t="shared" si="1"/>
        <v xml:space="preserve"> Dispositivos de protección</v>
      </c>
      <c r="S22">
        <f t="shared" si="2"/>
        <v>2</v>
      </c>
    </row>
    <row r="23" spans="1:19" x14ac:dyDescent="0.25">
      <c r="A23" t="s">
        <v>1254</v>
      </c>
      <c r="I23" t="str">
        <f t="shared" si="0"/>
        <v xml:space="preserve">2.8.1 </v>
      </c>
      <c r="J23" t="str">
        <f t="shared" si="1"/>
        <v xml:space="preserve"> Interruptor de parada de emergencia</v>
      </c>
      <c r="S23">
        <f t="shared" si="2"/>
        <v>3</v>
      </c>
    </row>
    <row r="24" spans="1:19" x14ac:dyDescent="0.25">
      <c r="A24" t="s">
        <v>1269</v>
      </c>
      <c r="I24" t="str">
        <f t="shared" si="0"/>
        <v xml:space="preserve">2.8.2 </v>
      </c>
      <c r="J24" t="str">
        <f t="shared" si="1"/>
        <v xml:space="preserve"> Seccionadores de los accionamientos</v>
      </c>
      <c r="S24">
        <f t="shared" si="2"/>
        <v>3</v>
      </c>
    </row>
    <row r="25" spans="1:19" x14ac:dyDescent="0.25">
      <c r="A25" t="s">
        <v>1270</v>
      </c>
      <c r="I25" t="str">
        <f t="shared" si="0"/>
        <v xml:space="preserve">2.8.3 </v>
      </c>
      <c r="J25" t="str">
        <f t="shared" si="1"/>
        <v xml:space="preserve"> Chapas protectoras</v>
      </c>
      <c r="S25">
        <f t="shared" si="2"/>
        <v>3</v>
      </c>
    </row>
    <row r="26" spans="1:19" x14ac:dyDescent="0.25">
      <c r="A26" t="s">
        <v>1271</v>
      </c>
      <c r="I26" t="str">
        <f t="shared" si="0"/>
        <v xml:space="preserve">2.8.4 </v>
      </c>
      <c r="J26" t="str">
        <f t="shared" si="1"/>
        <v xml:space="preserve"> Dispositivos para separar de las fuentes de energía y asegurar</v>
      </c>
      <c r="S26">
        <f t="shared" si="2"/>
        <v>3</v>
      </c>
    </row>
    <row r="27" spans="1:19" x14ac:dyDescent="0.25">
      <c r="A27" t="s">
        <v>1272</v>
      </c>
      <c r="I27" t="str">
        <f t="shared" si="0"/>
        <v xml:space="preserve">2.9 </v>
      </c>
      <c r="J27" t="str">
        <f t="shared" si="1"/>
        <v xml:space="preserve"> Comportamiento en caso de situaciones de peligro y accidentes</v>
      </c>
      <c r="S27">
        <f t="shared" si="2"/>
        <v>2</v>
      </c>
    </row>
    <row r="28" spans="1:19" x14ac:dyDescent="0.25">
      <c r="A28" t="s">
        <v>1255</v>
      </c>
      <c r="I28" t="str">
        <f t="shared" si="0"/>
        <v xml:space="preserve">2.10 </v>
      </c>
      <c r="J28" t="str">
        <f t="shared" si="1"/>
        <v xml:space="preserve"> Estados operativos y modos operativos</v>
      </c>
      <c r="S28">
        <f t="shared" si="2"/>
        <v>2</v>
      </c>
    </row>
    <row r="29" spans="1:19" x14ac:dyDescent="0.25">
      <c r="A29" t="s">
        <v>1273</v>
      </c>
      <c r="I29" t="str">
        <f t="shared" si="0"/>
        <v xml:space="preserve">2.10.1 </v>
      </c>
      <c r="J29" t="str">
        <f t="shared" si="1"/>
        <v xml:space="preserve"> Máquina desconectada de las fuentes de energía</v>
      </c>
      <c r="S29">
        <f t="shared" ref="S29:S88" si="3">((LEN(I29)-LEN(SUBSTITUTE(I29,".","")))/LEN("."))+1</f>
        <v>3</v>
      </c>
    </row>
    <row r="30" spans="1:19" x14ac:dyDescent="0.25">
      <c r="A30" t="s">
        <v>1274</v>
      </c>
      <c r="I30" t="str">
        <f t="shared" si="0"/>
        <v xml:space="preserve">2.10.2 </v>
      </c>
      <c r="J30" t="str">
        <f t="shared" si="1"/>
        <v xml:space="preserve"> Estado operativo DESC</v>
      </c>
      <c r="S30">
        <f t="shared" si="3"/>
        <v>3</v>
      </c>
    </row>
    <row r="31" spans="1:19" x14ac:dyDescent="0.25">
      <c r="A31" t="s">
        <v>1256</v>
      </c>
      <c r="I31" t="str">
        <f t="shared" si="0"/>
        <v xml:space="preserve">2.10.3 </v>
      </c>
      <c r="J31" t="str">
        <f t="shared" si="1"/>
        <v xml:space="preserve"> Estado operativo CON</v>
      </c>
      <c r="S31">
        <f t="shared" si="3"/>
        <v>3</v>
      </c>
    </row>
    <row r="32" spans="1:19" x14ac:dyDescent="0.25">
      <c r="A32" t="s">
        <v>1275</v>
      </c>
      <c r="I32" t="str">
        <f t="shared" si="0"/>
        <v xml:space="preserve">2.11 </v>
      </c>
      <c r="J32" t="str">
        <f t="shared" si="1"/>
        <v xml:space="preserve"> Peligros residuales</v>
      </c>
      <c r="S32">
        <f t="shared" si="3"/>
        <v>2</v>
      </c>
    </row>
    <row r="33" spans="1:19" x14ac:dyDescent="0.25">
      <c r="A33" t="s">
        <v>1257</v>
      </c>
      <c r="I33" t="str">
        <f t="shared" si="0"/>
        <v xml:space="preserve">3 </v>
      </c>
      <c r="J33" t="str">
        <f t="shared" si="1"/>
        <v xml:space="preserve"> Estructura y función</v>
      </c>
      <c r="S33">
        <f t="shared" si="3"/>
        <v>1</v>
      </c>
    </row>
    <row r="34" spans="1:19" x14ac:dyDescent="0.25">
      <c r="A34" t="s">
        <v>1258</v>
      </c>
      <c r="I34" t="str">
        <f t="shared" si="0"/>
        <v xml:space="preserve">3.1 </v>
      </c>
      <c r="J34" t="str">
        <f t="shared" si="1"/>
        <v xml:space="preserve"> Sistema transportador continuo</v>
      </c>
      <c r="S34">
        <f t="shared" si="3"/>
        <v>2</v>
      </c>
    </row>
    <row r="35" spans="1:19" x14ac:dyDescent="0.25">
      <c r="A35" t="s">
        <v>1259</v>
      </c>
      <c r="I35" t="str">
        <f t="shared" si="0"/>
        <v xml:space="preserve">3.1.1 </v>
      </c>
      <c r="J35" t="str">
        <f t="shared" si="1"/>
        <v xml:space="preserve"> Control del transporte</v>
      </c>
      <c r="S35">
        <f t="shared" si="3"/>
        <v>3</v>
      </c>
    </row>
    <row r="36" spans="1:19" x14ac:dyDescent="0.25">
      <c r="A36" t="s">
        <v>957</v>
      </c>
      <c r="I36" t="str">
        <f t="shared" si="0"/>
        <v xml:space="preserve">3.1.2 </v>
      </c>
      <c r="J36" t="str">
        <f t="shared" si="1"/>
        <v xml:space="preserve"> Áreas</v>
      </c>
      <c r="S36">
        <f t="shared" si="3"/>
        <v>3</v>
      </c>
    </row>
    <row r="37" spans="1:19" x14ac:dyDescent="0.25">
      <c r="A37" t="s">
        <v>1276</v>
      </c>
      <c r="I37" t="str">
        <f t="shared" si="0"/>
        <v xml:space="preserve">3.1.3 </v>
      </c>
      <c r="J37" t="str">
        <f t="shared" si="1"/>
        <v xml:space="preserve"> Segmentos</v>
      </c>
      <c r="S37">
        <f t="shared" si="3"/>
        <v>3</v>
      </c>
    </row>
    <row r="38" spans="1:19" x14ac:dyDescent="0.25">
      <c r="A38" t="s">
        <v>1277</v>
      </c>
      <c r="I38" t="str">
        <f t="shared" si="0"/>
        <v xml:space="preserve">3.1.4 </v>
      </c>
      <c r="J38" t="str">
        <f t="shared" si="1"/>
        <v xml:space="preserve"> Baranda</v>
      </c>
      <c r="S38">
        <f t="shared" si="3"/>
        <v>3</v>
      </c>
    </row>
    <row r="39" spans="1:19" x14ac:dyDescent="0.25">
      <c r="A39" t="s">
        <v>1265</v>
      </c>
      <c r="I39" t="str">
        <f t="shared" si="0"/>
        <v xml:space="preserve">3.2 </v>
      </c>
      <c r="J39" t="str">
        <f t="shared" si="1"/>
        <v xml:space="preserve"> Lugares de trabajo</v>
      </c>
      <c r="S39">
        <f t="shared" si="3"/>
        <v>2</v>
      </c>
    </row>
    <row r="40" spans="1:19" x14ac:dyDescent="0.25">
      <c r="A40" t="s">
        <v>1266</v>
      </c>
      <c r="I40" t="str">
        <f t="shared" si="0"/>
        <v xml:space="preserve">3.3 </v>
      </c>
      <c r="J40" t="str">
        <f t="shared" si="1"/>
        <v xml:space="preserve"> Dispositivos de mando</v>
      </c>
      <c r="S40">
        <f t="shared" si="3"/>
        <v>2</v>
      </c>
    </row>
    <row r="41" spans="1:19" x14ac:dyDescent="0.25">
      <c r="A41" t="s">
        <v>1278</v>
      </c>
      <c r="I41" t="str">
        <f t="shared" si="0"/>
        <v xml:space="preserve">3.4 </v>
      </c>
      <c r="J41" t="str">
        <f t="shared" si="1"/>
        <v xml:space="preserve"> Acceso remoto Remote Diagnostic Service (ReDiS)</v>
      </c>
      <c r="S41">
        <f t="shared" si="3"/>
        <v>2</v>
      </c>
    </row>
    <row r="42" spans="1:19" x14ac:dyDescent="0.25">
      <c r="A42" t="s">
        <v>1279</v>
      </c>
      <c r="I42" t="str">
        <f t="shared" si="0"/>
        <v xml:space="preserve">3.5 </v>
      </c>
      <c r="J42" t="str">
        <f t="shared" si="1"/>
        <v xml:space="preserve"> Dispositivos de aviso</v>
      </c>
      <c r="S42">
        <f t="shared" si="3"/>
        <v>2</v>
      </c>
    </row>
    <row r="43" spans="1:19" x14ac:dyDescent="0.25">
      <c r="A43" t="s">
        <v>1280</v>
      </c>
      <c r="I43" t="str">
        <f t="shared" ref="I43:I46" si="4">LEFT(A43,FIND(" ",A43,1))</f>
        <v xml:space="preserve">4 </v>
      </c>
      <c r="J43" t="str">
        <f t="shared" ref="J43:J46" si="5">MID(A43,FIND(" ",A43),FIND(".",A43,8)-FIND(" ",A43))</f>
        <v xml:space="preserve"> Montaje</v>
      </c>
      <c r="S43">
        <f t="shared" si="3"/>
        <v>1</v>
      </c>
    </row>
    <row r="44" spans="1:19" x14ac:dyDescent="0.25">
      <c r="A44" t="s">
        <v>1281</v>
      </c>
      <c r="I44" t="str">
        <f t="shared" si="4"/>
        <v xml:space="preserve">4.1 </v>
      </c>
      <c r="J44" t="str">
        <f t="shared" si="5"/>
        <v xml:space="preserve"> Indicaciones de seguridad</v>
      </c>
      <c r="S44">
        <f t="shared" si="3"/>
        <v>2</v>
      </c>
    </row>
    <row r="45" spans="1:19" x14ac:dyDescent="0.25">
      <c r="A45" t="s">
        <v>1342</v>
      </c>
      <c r="I45" t="str">
        <f t="shared" si="4"/>
        <v xml:space="preserve">4.2 </v>
      </c>
      <c r="J45" t="str">
        <f t="shared" si="5"/>
        <v xml:space="preserve"> Verificación del volumen de suministro y realización de la inspección del transporte</v>
      </c>
      <c r="S45">
        <f t="shared" si="3"/>
        <v>2</v>
      </c>
    </row>
    <row r="46" spans="1:19" x14ac:dyDescent="0.25">
      <c r="A46" t="s">
        <v>1282</v>
      </c>
      <c r="I46" t="str">
        <f t="shared" si="4"/>
        <v xml:space="preserve">4.3 </v>
      </c>
      <c r="J46" t="str">
        <f t="shared" si="5"/>
        <v xml:space="preserve"> Transporte</v>
      </c>
      <c r="S46">
        <f t="shared" si="3"/>
        <v>2</v>
      </c>
    </row>
    <row r="47" spans="1:19" x14ac:dyDescent="0.25">
      <c r="A47" t="s">
        <v>1283</v>
      </c>
      <c r="I47" t="str">
        <f t="shared" ref="I47:I78" si="6">LEFT(A47,FIND(" ",A47,1))</f>
        <v xml:space="preserve">4.4 </v>
      </c>
      <c r="J47" t="str">
        <f t="shared" ref="J47:J78" si="7">MID(A47,FIND(" ",A47),FIND(".",A47,8)-FIND(" ",A47))</f>
        <v xml:space="preserve"> Instalación</v>
      </c>
      <c r="S47">
        <f t="shared" si="3"/>
        <v>2</v>
      </c>
    </row>
    <row r="48" spans="1:19" x14ac:dyDescent="0.25">
      <c r="A48" t="s">
        <v>1284</v>
      </c>
      <c r="I48" t="str">
        <f t="shared" si="6"/>
        <v xml:space="preserve">4.5 </v>
      </c>
      <c r="J48" t="str">
        <f t="shared" si="7"/>
        <v xml:space="preserve"> Montar</v>
      </c>
      <c r="S48">
        <f t="shared" si="3"/>
        <v>2</v>
      </c>
    </row>
    <row r="49" spans="1:19" x14ac:dyDescent="0.25">
      <c r="A49" t="s">
        <v>1285</v>
      </c>
      <c r="I49" t="str">
        <f t="shared" si="6"/>
        <v xml:space="preserve">4.6 </v>
      </c>
      <c r="J49" t="str">
        <f t="shared" si="7"/>
        <v xml:space="preserve"> Conexión</v>
      </c>
      <c r="S49">
        <f t="shared" si="3"/>
        <v>2</v>
      </c>
    </row>
    <row r="50" spans="1:19" x14ac:dyDescent="0.25">
      <c r="A50" t="s">
        <v>1286</v>
      </c>
      <c r="I50" t="str">
        <f t="shared" si="6"/>
        <v xml:space="preserve">4.7 </v>
      </c>
      <c r="J50" t="str">
        <f t="shared" si="7"/>
        <v xml:space="preserve"> Puesta en servicio</v>
      </c>
      <c r="S50">
        <f t="shared" si="3"/>
        <v>2</v>
      </c>
    </row>
    <row r="51" spans="1:19" x14ac:dyDescent="0.25">
      <c r="A51" t="s">
        <v>1287</v>
      </c>
      <c r="I51" t="str">
        <f t="shared" si="6"/>
        <v xml:space="preserve">4.8 </v>
      </c>
      <c r="J51" t="str">
        <f t="shared" si="7"/>
        <v xml:space="preserve"> Puesta fuera de servicio</v>
      </c>
      <c r="S51">
        <f t="shared" si="3"/>
        <v>2</v>
      </c>
    </row>
    <row r="52" spans="1:19" x14ac:dyDescent="0.25">
      <c r="A52" t="s">
        <v>1288</v>
      </c>
      <c r="I52" t="str">
        <f t="shared" si="6"/>
        <v xml:space="preserve">4.9 </v>
      </c>
      <c r="J52" t="str">
        <f t="shared" si="7"/>
        <v xml:space="preserve"> Almacenamiento</v>
      </c>
      <c r="S52">
        <f t="shared" si="3"/>
        <v>2</v>
      </c>
    </row>
    <row r="53" spans="1:19" x14ac:dyDescent="0.25">
      <c r="A53" t="s">
        <v>1289</v>
      </c>
      <c r="I53" t="str">
        <f t="shared" si="6"/>
        <v xml:space="preserve">4.10 </v>
      </c>
      <c r="J53" t="str">
        <f t="shared" si="7"/>
        <v xml:space="preserve"> Restablecimiento del servicio</v>
      </c>
      <c r="S53">
        <f t="shared" si="3"/>
        <v>2</v>
      </c>
    </row>
    <row r="54" spans="1:19" x14ac:dyDescent="0.25">
      <c r="A54" t="s">
        <v>1290</v>
      </c>
      <c r="I54" t="str">
        <f t="shared" si="6"/>
        <v xml:space="preserve">4.11 </v>
      </c>
      <c r="J54" t="str">
        <f t="shared" si="7"/>
        <v xml:space="preserve"> Eliminación de desechos</v>
      </c>
      <c r="S54">
        <f t="shared" si="3"/>
        <v>2</v>
      </c>
    </row>
    <row r="55" spans="1:19" x14ac:dyDescent="0.25">
      <c r="A55" t="s">
        <v>1291</v>
      </c>
      <c r="I55" t="str">
        <f t="shared" si="6"/>
        <v xml:space="preserve">5 </v>
      </c>
      <c r="J55" t="str">
        <f t="shared" si="7"/>
        <v xml:space="preserve"> Funcionamiento</v>
      </c>
      <c r="S55">
        <f t="shared" si="3"/>
        <v>1</v>
      </c>
    </row>
    <row r="56" spans="1:19" x14ac:dyDescent="0.25">
      <c r="A56" t="s">
        <v>1292</v>
      </c>
      <c r="I56" t="str">
        <f t="shared" si="6"/>
        <v xml:space="preserve">5.1 </v>
      </c>
      <c r="J56" t="str">
        <f t="shared" si="7"/>
        <v xml:space="preserve"> Indicaciones de seguridad</v>
      </c>
      <c r="S56">
        <f t="shared" si="3"/>
        <v>2</v>
      </c>
    </row>
    <row r="57" spans="1:19" x14ac:dyDescent="0.25">
      <c r="A57" t="s">
        <v>1293</v>
      </c>
      <c r="I57" t="str">
        <f t="shared" si="6"/>
        <v xml:space="preserve">5.2 </v>
      </c>
      <c r="J57" t="str">
        <f t="shared" si="7"/>
        <v xml:space="preserve"> Dispositivos de protección</v>
      </c>
      <c r="S57">
        <f t="shared" si="3"/>
        <v>2</v>
      </c>
    </row>
    <row r="58" spans="1:19" x14ac:dyDescent="0.25">
      <c r="A58" t="s">
        <v>1294</v>
      </c>
      <c r="I58" t="str">
        <f t="shared" si="6"/>
        <v xml:space="preserve">5.2.1 </v>
      </c>
      <c r="J58" t="str">
        <f t="shared" si="7"/>
        <v xml:space="preserve"> Interruptor de parada de emergencia</v>
      </c>
      <c r="S58">
        <f t="shared" si="3"/>
        <v>3</v>
      </c>
    </row>
    <row r="59" spans="1:19" x14ac:dyDescent="0.25">
      <c r="A59" t="s">
        <v>1295</v>
      </c>
      <c r="I59" t="str">
        <f t="shared" si="6"/>
        <v xml:space="preserve">5.3 </v>
      </c>
      <c r="J59" t="str">
        <f t="shared" si="7"/>
        <v xml:space="preserve"> Dispositivos de mando</v>
      </c>
      <c r="S59">
        <f t="shared" si="3"/>
        <v>2</v>
      </c>
    </row>
    <row r="60" spans="1:19" x14ac:dyDescent="0.25">
      <c r="A60" t="s">
        <v>1296</v>
      </c>
      <c r="I60" t="str">
        <f t="shared" si="6"/>
        <v xml:space="preserve">5.3.1 </v>
      </c>
      <c r="J60" t="str">
        <f t="shared" si="7"/>
        <v xml:space="preserve"> Dispositivo de mando de acceso remoto Remote Diagnostic Service (ReDiS)</v>
      </c>
      <c r="S60">
        <f t="shared" si="3"/>
        <v>3</v>
      </c>
    </row>
    <row r="61" spans="1:19" x14ac:dyDescent="0.25">
      <c r="A61" t="s">
        <v>1297</v>
      </c>
      <c r="I61" t="str">
        <f t="shared" si="6"/>
        <v xml:space="preserve">5.4 </v>
      </c>
      <c r="J61" t="str">
        <f t="shared" si="7"/>
        <v xml:space="preserve"> Dispositivos de aviso</v>
      </c>
      <c r="S61">
        <f t="shared" si="3"/>
        <v>2</v>
      </c>
    </row>
    <row r="62" spans="1:19" x14ac:dyDescent="0.25">
      <c r="A62" t="s">
        <v>1298</v>
      </c>
      <c r="I62" t="str">
        <f t="shared" si="6"/>
        <v xml:space="preserve">5.5 </v>
      </c>
      <c r="J62" t="str">
        <f t="shared" si="7"/>
        <v xml:space="preserve"> Establecer la disposición de servicio</v>
      </c>
      <c r="S62">
        <f t="shared" si="3"/>
        <v>2</v>
      </c>
    </row>
    <row r="63" spans="1:19" x14ac:dyDescent="0.25">
      <c r="A63" t="s">
        <v>1299</v>
      </c>
      <c r="I63" t="str">
        <f t="shared" si="6"/>
        <v xml:space="preserve">5.6 </v>
      </c>
      <c r="J63" t="str">
        <f t="shared" si="7"/>
        <v xml:space="preserve"> Producción</v>
      </c>
      <c r="S63">
        <f t="shared" si="3"/>
        <v>2</v>
      </c>
    </row>
    <row r="64" spans="1:19" x14ac:dyDescent="0.25">
      <c r="A64" t="s">
        <v>1300</v>
      </c>
      <c r="I64" t="str">
        <f t="shared" si="6"/>
        <v xml:space="preserve">5.6.1 </v>
      </c>
      <c r="J64" t="str">
        <f t="shared" si="7"/>
        <v xml:space="preserve"> Indicaciones de seguridad</v>
      </c>
      <c r="S64">
        <f t="shared" si="3"/>
        <v>3</v>
      </c>
    </row>
    <row r="65" spans="1:19" x14ac:dyDescent="0.25">
      <c r="A65" t="s">
        <v>1301</v>
      </c>
      <c r="I65" t="str">
        <f t="shared" si="6"/>
        <v xml:space="preserve">5.6.2 </v>
      </c>
      <c r="J65" t="str">
        <f t="shared" si="7"/>
        <v xml:space="preserve"> Preparar</v>
      </c>
      <c r="S65">
        <f t="shared" si="3"/>
        <v>3</v>
      </c>
    </row>
    <row r="66" spans="1:19" x14ac:dyDescent="0.25">
      <c r="A66" t="s">
        <v>1302</v>
      </c>
      <c r="I66" t="str">
        <f t="shared" si="6"/>
        <v xml:space="preserve">5.6.3 </v>
      </c>
      <c r="J66" t="str">
        <f t="shared" si="7"/>
        <v xml:space="preserve"> Iniciar</v>
      </c>
      <c r="S66">
        <f t="shared" si="3"/>
        <v>3</v>
      </c>
    </row>
    <row r="67" spans="1:19" x14ac:dyDescent="0.25">
      <c r="A67" t="s">
        <v>1303</v>
      </c>
      <c r="I67" t="str">
        <f t="shared" si="6"/>
        <v xml:space="preserve">5.6.4 </v>
      </c>
      <c r="J67" t="str">
        <f t="shared" si="7"/>
        <v xml:space="preserve"> Supervisión</v>
      </c>
      <c r="S67">
        <f t="shared" si="3"/>
        <v>3</v>
      </c>
    </row>
    <row r="68" spans="1:19" x14ac:dyDescent="0.25">
      <c r="A68" t="s">
        <v>1304</v>
      </c>
      <c r="I68" t="str">
        <f t="shared" si="6"/>
        <v xml:space="preserve">5.6.5 </v>
      </c>
      <c r="J68" t="str">
        <f t="shared" si="7"/>
        <v xml:space="preserve"> Parar</v>
      </c>
      <c r="S68">
        <f t="shared" si="3"/>
        <v>3</v>
      </c>
    </row>
    <row r="69" spans="1:19" x14ac:dyDescent="0.25">
      <c r="A69" t="s">
        <v>1305</v>
      </c>
      <c r="I69" t="str">
        <f t="shared" si="6"/>
        <v xml:space="preserve">5.6.6 </v>
      </c>
      <c r="J69" t="str">
        <f t="shared" si="7"/>
        <v xml:space="preserve"> Continuar</v>
      </c>
      <c r="S69">
        <f t="shared" si="3"/>
        <v>3</v>
      </c>
    </row>
    <row r="70" spans="1:19" x14ac:dyDescent="0.25">
      <c r="A70" t="s">
        <v>1306</v>
      </c>
      <c r="I70" t="str">
        <f t="shared" si="6"/>
        <v xml:space="preserve">5.6.7 </v>
      </c>
      <c r="J70" t="str">
        <f t="shared" si="7"/>
        <v xml:space="preserve"> Finalizar</v>
      </c>
      <c r="S70">
        <f t="shared" si="3"/>
        <v>3</v>
      </c>
    </row>
    <row r="71" spans="1:19" x14ac:dyDescent="0.25">
      <c r="A71" t="s">
        <v>1307</v>
      </c>
      <c r="I71" t="str">
        <f t="shared" si="6"/>
        <v xml:space="preserve">5.7 </v>
      </c>
      <c r="J71" t="str">
        <f t="shared" si="7"/>
        <v xml:space="preserve"> Limpieza</v>
      </c>
      <c r="S71">
        <f t="shared" si="3"/>
        <v>2</v>
      </c>
    </row>
    <row r="72" spans="1:19" x14ac:dyDescent="0.25">
      <c r="A72" t="s">
        <v>1308</v>
      </c>
      <c r="I72" t="str">
        <f t="shared" si="6"/>
        <v xml:space="preserve">5.7.1 </v>
      </c>
      <c r="J72" t="str">
        <f t="shared" si="7"/>
        <v xml:space="preserve"> Indicaciones de seguridad</v>
      </c>
      <c r="S72">
        <f t="shared" si="3"/>
        <v>3</v>
      </c>
    </row>
    <row r="73" spans="1:19" x14ac:dyDescent="0.25">
      <c r="A73" t="s">
        <v>1309</v>
      </c>
      <c r="I73" t="str">
        <f t="shared" si="6"/>
        <v xml:space="preserve">5.7.2 </v>
      </c>
      <c r="J73" t="str">
        <f t="shared" si="7"/>
        <v xml:space="preserve"> Condiciones previas para la limpieza</v>
      </c>
      <c r="S73">
        <f t="shared" si="3"/>
        <v>3</v>
      </c>
    </row>
    <row r="74" spans="1:19" x14ac:dyDescent="0.25">
      <c r="A74" t="s">
        <v>1310</v>
      </c>
      <c r="I74" t="str">
        <f t="shared" si="6"/>
        <v xml:space="preserve">5.7.3 </v>
      </c>
      <c r="J74" t="str">
        <f t="shared" si="7"/>
        <v xml:space="preserve"> Preparar limpieza</v>
      </c>
      <c r="S74">
        <f t="shared" si="3"/>
        <v>3</v>
      </c>
    </row>
    <row r="75" spans="1:19" x14ac:dyDescent="0.25">
      <c r="A75" t="s">
        <v>1311</v>
      </c>
      <c r="I75" t="str">
        <f t="shared" si="6"/>
        <v xml:space="preserve">5.7.4 </v>
      </c>
      <c r="J75" t="str">
        <f t="shared" si="7"/>
        <v xml:space="preserve"> Realizar la limpieza</v>
      </c>
      <c r="S75">
        <f t="shared" si="3"/>
        <v>3</v>
      </c>
    </row>
    <row r="76" spans="1:19" x14ac:dyDescent="0.25">
      <c r="A76" t="s">
        <v>1312</v>
      </c>
      <c r="I76" t="str">
        <f t="shared" si="6"/>
        <v xml:space="preserve">5.8 </v>
      </c>
      <c r="J76" t="str">
        <f t="shared" si="7"/>
        <v xml:space="preserve"> Equipar</v>
      </c>
      <c r="S76">
        <f t="shared" si="3"/>
        <v>2</v>
      </c>
    </row>
    <row r="77" spans="1:19" x14ac:dyDescent="0.25">
      <c r="A77" t="s">
        <v>1313</v>
      </c>
      <c r="I77" t="str">
        <f t="shared" si="6"/>
        <v xml:space="preserve">5.8.1 </v>
      </c>
      <c r="J77" t="str">
        <f t="shared" si="7"/>
        <v xml:space="preserve"> Indicaciones de seguridad</v>
      </c>
      <c r="S77">
        <f t="shared" si="3"/>
        <v>3</v>
      </c>
    </row>
    <row r="78" spans="1:19" x14ac:dyDescent="0.25">
      <c r="A78" t="s">
        <v>1314</v>
      </c>
      <c r="I78" t="str">
        <f t="shared" si="6"/>
        <v xml:space="preserve">5.8.2 </v>
      </c>
      <c r="J78" t="str">
        <f t="shared" si="7"/>
        <v xml:space="preserve"> Preparar</v>
      </c>
      <c r="S78">
        <f t="shared" si="3"/>
        <v>3</v>
      </c>
    </row>
    <row r="79" spans="1:19" x14ac:dyDescent="0.25">
      <c r="A79" t="s">
        <v>1315</v>
      </c>
      <c r="I79" t="str">
        <f t="shared" ref="I79:I108" si="8">LEFT(A79,FIND(" ",A79,1))</f>
        <v xml:space="preserve">5.8.3 </v>
      </c>
      <c r="J79" t="str">
        <f t="shared" ref="J79:J108" si="9">MID(A79,FIND(" ",A79),FIND(".",A79,8)-FIND(" ",A79))</f>
        <v xml:space="preserve"> Ejecutar</v>
      </c>
      <c r="S79">
        <f t="shared" si="3"/>
        <v>3</v>
      </c>
    </row>
    <row r="80" spans="1:19" x14ac:dyDescent="0.25">
      <c r="A80" t="s">
        <v>1316</v>
      </c>
      <c r="I80" t="str">
        <f t="shared" si="8"/>
        <v xml:space="preserve">5.9 </v>
      </c>
      <c r="J80" t="str">
        <f t="shared" si="9"/>
        <v xml:space="preserve"> Suprimir la disposición de servicio</v>
      </c>
      <c r="S80">
        <f t="shared" si="3"/>
        <v>2</v>
      </c>
    </row>
    <row r="81" spans="1:19" x14ac:dyDescent="0.25">
      <c r="A81" t="s">
        <v>1317</v>
      </c>
      <c r="I81" t="str">
        <f t="shared" si="8"/>
        <v xml:space="preserve">6 </v>
      </c>
      <c r="J81" t="str">
        <f t="shared" si="9"/>
        <v xml:space="preserve"> Mantenimiento y reparación</v>
      </c>
      <c r="S81">
        <f t="shared" si="3"/>
        <v>1</v>
      </c>
    </row>
    <row r="82" spans="1:19" x14ac:dyDescent="0.25">
      <c r="A82" t="s">
        <v>1318</v>
      </c>
      <c r="I82" t="str">
        <f t="shared" si="8"/>
        <v xml:space="preserve">6.1 </v>
      </c>
      <c r="J82" t="str">
        <f t="shared" si="9"/>
        <v xml:space="preserve"> Indicaciones de seguridad</v>
      </c>
      <c r="S82">
        <f t="shared" si="3"/>
        <v>2</v>
      </c>
    </row>
    <row r="83" spans="1:19" x14ac:dyDescent="0.25">
      <c r="A83" t="s">
        <v>1319</v>
      </c>
      <c r="I83" t="str">
        <f t="shared" si="8"/>
        <v xml:space="preserve">6.2 </v>
      </c>
      <c r="J83" t="str">
        <f t="shared" si="9"/>
        <v xml:space="preserve"> Observar las prescripciones</v>
      </c>
      <c r="S83">
        <f t="shared" si="3"/>
        <v>2</v>
      </c>
    </row>
    <row r="84" spans="1:19" x14ac:dyDescent="0.25">
      <c r="A84" t="s">
        <v>1320</v>
      </c>
      <c r="I84" t="str">
        <f t="shared" si="8"/>
        <v xml:space="preserve">6.3 </v>
      </c>
      <c r="J84" t="str">
        <f t="shared" si="9"/>
        <v xml:space="preserve"> Separar de las fuentes de energía y asegurar</v>
      </c>
      <c r="S84">
        <f t="shared" si="3"/>
        <v>2</v>
      </c>
    </row>
    <row r="85" spans="1:19" x14ac:dyDescent="0.25">
      <c r="A85" t="s">
        <v>1321</v>
      </c>
      <c r="I85" t="str">
        <f t="shared" si="8"/>
        <v xml:space="preserve">6.4 </v>
      </c>
      <c r="J85" t="str">
        <f t="shared" si="9"/>
        <v xml:space="preserve"> Mantenimiento</v>
      </c>
      <c r="S85">
        <f t="shared" si="3"/>
        <v>2</v>
      </c>
    </row>
    <row r="86" spans="1:19" x14ac:dyDescent="0.25">
      <c r="A86" t="s">
        <v>1322</v>
      </c>
      <c r="I86" t="str">
        <f t="shared" si="8"/>
        <v xml:space="preserve">6.4.1 </v>
      </c>
      <c r="J86" t="str">
        <f t="shared" si="9"/>
        <v xml:space="preserve"> Indicaciones de seguridad</v>
      </c>
      <c r="S86">
        <f t="shared" si="3"/>
        <v>3</v>
      </c>
    </row>
    <row r="87" spans="1:19" x14ac:dyDescent="0.25">
      <c r="A87" t="s">
        <v>1323</v>
      </c>
      <c r="I87" t="str">
        <f t="shared" si="8"/>
        <v xml:space="preserve">6.4.2 </v>
      </c>
      <c r="J87" t="str">
        <f t="shared" si="9"/>
        <v xml:space="preserve"> Indicaciones de mantenimiento</v>
      </c>
      <c r="S87">
        <f t="shared" si="3"/>
        <v>3</v>
      </c>
    </row>
    <row r="88" spans="1:19" x14ac:dyDescent="0.25">
      <c r="A88" t="s">
        <v>1324</v>
      </c>
      <c r="I88" t="str">
        <f t="shared" si="8"/>
        <v xml:space="preserve">6.4.3 </v>
      </c>
      <c r="J88" t="str">
        <f t="shared" si="9"/>
        <v xml:space="preserve"> Preparar</v>
      </c>
      <c r="S88">
        <f t="shared" si="3"/>
        <v>3</v>
      </c>
    </row>
    <row r="89" spans="1:19" x14ac:dyDescent="0.25">
      <c r="A89" t="s">
        <v>1325</v>
      </c>
      <c r="I89" t="str">
        <f t="shared" si="8"/>
        <v xml:space="preserve">6.4.4 </v>
      </c>
      <c r="J89" t="str">
        <f t="shared" si="9"/>
        <v xml:space="preserve"> Plan de mantenimiento</v>
      </c>
      <c r="S89">
        <f t="shared" ref="S89:S148" si="10">((LEN(I89)-LEN(SUBSTITUTE(I89,".","")))/LEN("."))+1</f>
        <v>3</v>
      </c>
    </row>
    <row r="90" spans="1:19" x14ac:dyDescent="0.25">
      <c r="A90" t="s">
        <v>1326</v>
      </c>
      <c r="I90" t="str">
        <f t="shared" si="8"/>
        <v xml:space="preserve">6.4.5 </v>
      </c>
      <c r="J90" t="str">
        <f t="shared" si="9"/>
        <v xml:space="preserve"> Esquema de lubricación</v>
      </c>
      <c r="S90">
        <f t="shared" si="10"/>
        <v>3</v>
      </c>
    </row>
    <row r="91" spans="1:19" x14ac:dyDescent="0.25">
      <c r="A91" t="s">
        <v>1327</v>
      </c>
      <c r="I91" t="str">
        <f t="shared" si="8"/>
        <v xml:space="preserve">7 </v>
      </c>
      <c r="J91" t="str">
        <f t="shared" si="9"/>
        <v xml:space="preserve"> Fallas</v>
      </c>
      <c r="S91">
        <f t="shared" si="10"/>
        <v>1</v>
      </c>
    </row>
    <row r="92" spans="1:19" x14ac:dyDescent="0.25">
      <c r="A92" t="s">
        <v>1328</v>
      </c>
      <c r="I92" t="str">
        <f t="shared" si="8"/>
        <v xml:space="preserve">7.1 </v>
      </c>
      <c r="J92" t="str">
        <f t="shared" si="9"/>
        <v xml:space="preserve"> Indicaciones de seguridad</v>
      </c>
      <c r="S92">
        <f t="shared" si="10"/>
        <v>2</v>
      </c>
    </row>
    <row r="93" spans="1:19" x14ac:dyDescent="0.25">
      <c r="A93" t="s">
        <v>1329</v>
      </c>
      <c r="I93" t="str">
        <f t="shared" si="8"/>
        <v xml:space="preserve">7.2 </v>
      </c>
      <c r="J93" t="str">
        <f t="shared" si="9"/>
        <v xml:space="preserve"> Subsanar</v>
      </c>
      <c r="S93">
        <f t="shared" si="10"/>
        <v>2</v>
      </c>
    </row>
    <row r="94" spans="1:19" x14ac:dyDescent="0.25">
      <c r="A94" t="s">
        <v>1330</v>
      </c>
      <c r="I94" t="str">
        <f t="shared" si="8"/>
        <v xml:space="preserve">7.3 </v>
      </c>
      <c r="J94" t="str">
        <f t="shared" si="9"/>
        <v xml:space="preserve"> Modo operativo Teleservicio</v>
      </c>
      <c r="S94">
        <f t="shared" si="10"/>
        <v>2</v>
      </c>
    </row>
    <row r="95" spans="1:19" x14ac:dyDescent="0.25">
      <c r="A95" t="s">
        <v>1331</v>
      </c>
      <c r="I95" t="str">
        <f t="shared" si="8"/>
        <v xml:space="preserve">8 </v>
      </c>
      <c r="J95" t="str">
        <f t="shared" si="9"/>
        <v xml:space="preserve"> Datos técnicos</v>
      </c>
      <c r="S95">
        <f t="shared" si="10"/>
        <v>1</v>
      </c>
    </row>
    <row r="96" spans="1:19" x14ac:dyDescent="0.25">
      <c r="A96" t="s">
        <v>1332</v>
      </c>
      <c r="I96" t="str">
        <f t="shared" si="8"/>
        <v xml:space="preserve">8.1 </v>
      </c>
      <c r="J96" t="str">
        <f t="shared" si="9"/>
        <v xml:space="preserve"> Requerimientos respecto de los medios</v>
      </c>
      <c r="S96">
        <f t="shared" si="10"/>
        <v>2</v>
      </c>
    </row>
    <row r="97" spans="1:19" x14ac:dyDescent="0.25">
      <c r="A97" t="s">
        <v>1333</v>
      </c>
      <c r="I97" t="str">
        <f t="shared" si="8"/>
        <v xml:space="preserve">8.1.1 </v>
      </c>
      <c r="J97" t="str">
        <f t="shared" si="9"/>
        <v xml:space="preserve"> Energía eléctrica</v>
      </c>
      <c r="S97">
        <f t="shared" si="10"/>
        <v>3</v>
      </c>
    </row>
    <row r="98" spans="1:19" x14ac:dyDescent="0.25">
      <c r="A98" t="s">
        <v>1334</v>
      </c>
      <c r="I98" t="str">
        <f t="shared" si="8"/>
        <v xml:space="preserve">8.2 </v>
      </c>
      <c r="J98" t="str">
        <f t="shared" si="9"/>
        <v xml:space="preserve"> Funcionamiento</v>
      </c>
      <c r="S98">
        <f t="shared" si="10"/>
        <v>2</v>
      </c>
    </row>
    <row r="99" spans="1:19" x14ac:dyDescent="0.25">
      <c r="A99" t="s">
        <v>1335</v>
      </c>
      <c r="I99" t="str">
        <f t="shared" si="8"/>
        <v xml:space="preserve">8.2.1 </v>
      </c>
      <c r="J99" t="str">
        <f t="shared" si="9"/>
        <v xml:space="preserve"> Emisiones acústicas</v>
      </c>
      <c r="S99">
        <f t="shared" si="10"/>
        <v>3</v>
      </c>
    </row>
    <row r="100" spans="1:19" x14ac:dyDescent="0.25">
      <c r="A100" t="s">
        <v>1336</v>
      </c>
      <c r="I100" t="str">
        <f t="shared" si="8"/>
        <v xml:space="preserve">8.2.2 </v>
      </c>
      <c r="J100" t="str">
        <f t="shared" si="9"/>
        <v xml:space="preserve"> Tipos</v>
      </c>
      <c r="S100">
        <f t="shared" si="10"/>
        <v>3</v>
      </c>
    </row>
    <row r="101" spans="1:19" x14ac:dyDescent="0.25">
      <c r="A101" t="s">
        <v>1337</v>
      </c>
      <c r="I101" t="str">
        <f t="shared" si="8"/>
        <v xml:space="preserve">8.3 </v>
      </c>
      <c r="J101" t="str">
        <f t="shared" si="9"/>
        <v xml:space="preserve"> Mantenimiento y reparación</v>
      </c>
      <c r="S101">
        <f t="shared" si="10"/>
        <v>2</v>
      </c>
    </row>
    <row r="102" spans="1:19" x14ac:dyDescent="0.25">
      <c r="A102" t="s">
        <v>1338</v>
      </c>
      <c r="I102" t="str">
        <f t="shared" si="8"/>
        <v xml:space="preserve">8.3.1 </v>
      </c>
      <c r="J102" t="str">
        <f t="shared" si="9"/>
        <v xml:space="preserve"> Sustancias lubricantes</v>
      </c>
      <c r="S102">
        <f t="shared" si="10"/>
        <v>3</v>
      </c>
    </row>
    <row r="103" spans="1:19" x14ac:dyDescent="0.25">
      <c r="A103" t="s">
        <v>1339</v>
      </c>
      <c r="I103" t="str">
        <f t="shared" si="8"/>
        <v xml:space="preserve">8.3.2 </v>
      </c>
      <c r="J103" t="str">
        <f t="shared" si="9"/>
        <v xml:space="preserve"> Identificación de los puntos de lubricación</v>
      </c>
      <c r="S103">
        <f t="shared" si="10"/>
        <v>3</v>
      </c>
    </row>
    <row r="104" spans="1:19" x14ac:dyDescent="0.25">
      <c r="A104" t="s">
        <v>1343</v>
      </c>
      <c r="I104" t="str">
        <f t="shared" si="8"/>
        <v xml:space="preserve">8.3.3 </v>
      </c>
      <c r="J104" t="str">
        <f t="shared" si="9"/>
        <v xml:space="preserve"> Identificación de los dispositivos para separar de las fuentes de energía y asegurar</v>
      </c>
      <c r="S104">
        <f t="shared" si="10"/>
        <v>3</v>
      </c>
    </row>
    <row r="105" spans="1:19" x14ac:dyDescent="0.25">
      <c r="A105" t="s">
        <v>1340</v>
      </c>
      <c r="I105" t="str">
        <f t="shared" si="8"/>
        <v xml:space="preserve">8.3.4 </v>
      </c>
      <c r="J105" t="str">
        <f t="shared" si="9"/>
        <v xml:space="preserve"> Valores límite para la limpieza de superficies</v>
      </c>
      <c r="S105">
        <f t="shared" si="10"/>
        <v>3</v>
      </c>
    </row>
    <row r="106" spans="1:19" x14ac:dyDescent="0.25">
      <c r="A106" t="s">
        <v>1341</v>
      </c>
      <c r="I106" t="str">
        <f t="shared" si="8"/>
        <v xml:space="preserve">9 </v>
      </c>
      <c r="J106" t="str">
        <f t="shared" si="9"/>
        <v xml:space="preserve"> Apéndice</v>
      </c>
      <c r="S106">
        <f t="shared" si="10"/>
        <v>1</v>
      </c>
    </row>
    <row r="107" spans="1:19" x14ac:dyDescent="0.25">
      <c r="I107" t="e">
        <f t="shared" si="8"/>
        <v>#VALUE!</v>
      </c>
      <c r="J107" t="e">
        <f t="shared" si="9"/>
        <v>#VALUE!</v>
      </c>
      <c r="S107" t="e">
        <f t="shared" si="10"/>
        <v>#VALUE!</v>
      </c>
    </row>
    <row r="108" spans="1:19" x14ac:dyDescent="0.25">
      <c r="I108" t="e">
        <f t="shared" si="8"/>
        <v>#VALUE!</v>
      </c>
      <c r="J108" t="e">
        <f t="shared" si="9"/>
        <v>#VALUE!</v>
      </c>
      <c r="S108" t="e">
        <f t="shared" si="10"/>
        <v>#VALUE!</v>
      </c>
    </row>
    <row r="109" spans="1:19" x14ac:dyDescent="0.25">
      <c r="I109" t="e">
        <f t="shared" ref="I109:I148" si="11">LEFT(A109,FIND(" ",A109,1))</f>
        <v>#VALUE!</v>
      </c>
      <c r="J109" t="e">
        <f t="shared" ref="J109:J148" si="12">MID(A109,FIND(" ",A109),FIND(".",A109,8)-FIND(" ",A109))</f>
        <v>#VALUE!</v>
      </c>
      <c r="S109" t="e">
        <f t="shared" si="10"/>
        <v>#VALUE!</v>
      </c>
    </row>
    <row r="110" spans="1:19" x14ac:dyDescent="0.25">
      <c r="I110" t="e">
        <f t="shared" si="11"/>
        <v>#VALUE!</v>
      </c>
      <c r="J110" t="e">
        <f t="shared" si="12"/>
        <v>#VALUE!</v>
      </c>
      <c r="S110" t="e">
        <f t="shared" si="10"/>
        <v>#VALUE!</v>
      </c>
    </row>
    <row r="111" spans="1:19" x14ac:dyDescent="0.25">
      <c r="I111" t="e">
        <f t="shared" si="11"/>
        <v>#VALUE!</v>
      </c>
      <c r="J111" t="e">
        <f t="shared" si="12"/>
        <v>#VALUE!</v>
      </c>
      <c r="S111" t="e">
        <f t="shared" si="10"/>
        <v>#VALUE!</v>
      </c>
    </row>
    <row r="112" spans="1:19" x14ac:dyDescent="0.25">
      <c r="I112" t="e">
        <f t="shared" si="11"/>
        <v>#VALUE!</v>
      </c>
      <c r="J112" t="e">
        <f t="shared" si="12"/>
        <v>#VALUE!</v>
      </c>
      <c r="S112" t="e">
        <f t="shared" si="10"/>
        <v>#VALUE!</v>
      </c>
    </row>
    <row r="113" spans="9:19" x14ac:dyDescent="0.25">
      <c r="I113" t="e">
        <f t="shared" si="11"/>
        <v>#VALUE!</v>
      </c>
      <c r="J113" t="e">
        <f t="shared" si="12"/>
        <v>#VALUE!</v>
      </c>
      <c r="S113" t="e">
        <f t="shared" si="10"/>
        <v>#VALUE!</v>
      </c>
    </row>
    <row r="114" spans="9:19" x14ac:dyDescent="0.25">
      <c r="I114" t="e">
        <f t="shared" si="11"/>
        <v>#VALUE!</v>
      </c>
      <c r="J114" t="e">
        <f t="shared" si="12"/>
        <v>#VALUE!</v>
      </c>
      <c r="S114" t="e">
        <f t="shared" si="10"/>
        <v>#VALUE!</v>
      </c>
    </row>
    <row r="115" spans="9:19" x14ac:dyDescent="0.25">
      <c r="I115" t="e">
        <f t="shared" si="11"/>
        <v>#VALUE!</v>
      </c>
      <c r="J115" t="e">
        <f t="shared" si="12"/>
        <v>#VALUE!</v>
      </c>
      <c r="S115" t="e">
        <f t="shared" si="10"/>
        <v>#VALUE!</v>
      </c>
    </row>
    <row r="116" spans="9:19" x14ac:dyDescent="0.25">
      <c r="I116" t="e">
        <f t="shared" si="11"/>
        <v>#VALUE!</v>
      </c>
      <c r="J116" t="e">
        <f t="shared" si="12"/>
        <v>#VALUE!</v>
      </c>
      <c r="S116" t="e">
        <f t="shared" si="10"/>
        <v>#VALUE!</v>
      </c>
    </row>
    <row r="117" spans="9:19" x14ac:dyDescent="0.25">
      <c r="I117" t="e">
        <f t="shared" si="11"/>
        <v>#VALUE!</v>
      </c>
      <c r="J117" t="e">
        <f t="shared" si="12"/>
        <v>#VALUE!</v>
      </c>
      <c r="S117" t="e">
        <f t="shared" si="10"/>
        <v>#VALUE!</v>
      </c>
    </row>
    <row r="118" spans="9:19" x14ac:dyDescent="0.25">
      <c r="I118" t="e">
        <f t="shared" si="11"/>
        <v>#VALUE!</v>
      </c>
      <c r="J118" t="e">
        <f t="shared" si="12"/>
        <v>#VALUE!</v>
      </c>
      <c r="S118" t="e">
        <f t="shared" si="10"/>
        <v>#VALUE!</v>
      </c>
    </row>
    <row r="119" spans="9:19" x14ac:dyDescent="0.25">
      <c r="I119" t="e">
        <f t="shared" si="11"/>
        <v>#VALUE!</v>
      </c>
      <c r="J119" t="e">
        <f t="shared" si="12"/>
        <v>#VALUE!</v>
      </c>
      <c r="S119" t="e">
        <f t="shared" si="10"/>
        <v>#VALUE!</v>
      </c>
    </row>
    <row r="120" spans="9:19" x14ac:dyDescent="0.25">
      <c r="I120" t="e">
        <f t="shared" si="11"/>
        <v>#VALUE!</v>
      </c>
      <c r="J120" t="e">
        <f t="shared" si="12"/>
        <v>#VALUE!</v>
      </c>
      <c r="S120" t="e">
        <f t="shared" si="10"/>
        <v>#VALUE!</v>
      </c>
    </row>
    <row r="121" spans="9:19" x14ac:dyDescent="0.25">
      <c r="I121" t="e">
        <f t="shared" si="11"/>
        <v>#VALUE!</v>
      </c>
      <c r="J121" t="e">
        <f t="shared" si="12"/>
        <v>#VALUE!</v>
      </c>
      <c r="S121" t="e">
        <f t="shared" si="10"/>
        <v>#VALUE!</v>
      </c>
    </row>
    <row r="122" spans="9:19" x14ac:dyDescent="0.25">
      <c r="I122" t="e">
        <f t="shared" si="11"/>
        <v>#VALUE!</v>
      </c>
      <c r="J122" t="e">
        <f t="shared" si="12"/>
        <v>#VALUE!</v>
      </c>
      <c r="S122" t="e">
        <f t="shared" si="10"/>
        <v>#VALUE!</v>
      </c>
    </row>
    <row r="123" spans="9:19" x14ac:dyDescent="0.25">
      <c r="I123" t="e">
        <f t="shared" si="11"/>
        <v>#VALUE!</v>
      </c>
      <c r="J123" t="e">
        <f t="shared" si="12"/>
        <v>#VALUE!</v>
      </c>
      <c r="S123" t="e">
        <f t="shared" si="10"/>
        <v>#VALUE!</v>
      </c>
    </row>
    <row r="124" spans="9:19" x14ac:dyDescent="0.25">
      <c r="I124" t="e">
        <f t="shared" si="11"/>
        <v>#VALUE!</v>
      </c>
      <c r="J124" t="e">
        <f t="shared" si="12"/>
        <v>#VALUE!</v>
      </c>
      <c r="S124" t="e">
        <f t="shared" si="10"/>
        <v>#VALUE!</v>
      </c>
    </row>
    <row r="125" spans="9:19" x14ac:dyDescent="0.25">
      <c r="I125" t="e">
        <f t="shared" si="11"/>
        <v>#VALUE!</v>
      </c>
      <c r="J125" t="e">
        <f t="shared" si="12"/>
        <v>#VALUE!</v>
      </c>
      <c r="S125" t="e">
        <f t="shared" si="10"/>
        <v>#VALUE!</v>
      </c>
    </row>
    <row r="126" spans="9:19" x14ac:dyDescent="0.25">
      <c r="I126" t="e">
        <f t="shared" si="11"/>
        <v>#VALUE!</v>
      </c>
      <c r="J126" t="e">
        <f t="shared" si="12"/>
        <v>#VALUE!</v>
      </c>
      <c r="S126" t="e">
        <f t="shared" si="10"/>
        <v>#VALUE!</v>
      </c>
    </row>
    <row r="127" spans="9:19" x14ac:dyDescent="0.25">
      <c r="I127" t="e">
        <f t="shared" si="11"/>
        <v>#VALUE!</v>
      </c>
      <c r="J127" t="e">
        <f t="shared" si="12"/>
        <v>#VALUE!</v>
      </c>
      <c r="S127" t="e">
        <f t="shared" si="10"/>
        <v>#VALUE!</v>
      </c>
    </row>
    <row r="128" spans="9:19" x14ac:dyDescent="0.25">
      <c r="I128" t="e">
        <f t="shared" si="11"/>
        <v>#VALUE!</v>
      </c>
      <c r="J128" t="e">
        <f t="shared" si="12"/>
        <v>#VALUE!</v>
      </c>
      <c r="S128" t="e">
        <f t="shared" si="10"/>
        <v>#VALUE!</v>
      </c>
    </row>
    <row r="129" spans="9:19" x14ac:dyDescent="0.25">
      <c r="I129" t="e">
        <f t="shared" si="11"/>
        <v>#VALUE!</v>
      </c>
      <c r="J129" t="e">
        <f t="shared" si="12"/>
        <v>#VALUE!</v>
      </c>
      <c r="S129" t="e">
        <f t="shared" si="10"/>
        <v>#VALUE!</v>
      </c>
    </row>
    <row r="130" spans="9:19" x14ac:dyDescent="0.25">
      <c r="I130" t="e">
        <f t="shared" si="11"/>
        <v>#VALUE!</v>
      </c>
      <c r="J130" t="e">
        <f t="shared" si="12"/>
        <v>#VALUE!</v>
      </c>
      <c r="S130" t="e">
        <f t="shared" si="10"/>
        <v>#VALUE!</v>
      </c>
    </row>
    <row r="131" spans="9:19" x14ac:dyDescent="0.25">
      <c r="I131" t="e">
        <f t="shared" si="11"/>
        <v>#VALUE!</v>
      </c>
      <c r="J131" t="e">
        <f t="shared" si="12"/>
        <v>#VALUE!</v>
      </c>
      <c r="S131" t="e">
        <f t="shared" si="10"/>
        <v>#VALUE!</v>
      </c>
    </row>
    <row r="132" spans="9:19" x14ac:dyDescent="0.25">
      <c r="I132" t="e">
        <f t="shared" si="11"/>
        <v>#VALUE!</v>
      </c>
      <c r="J132" t="e">
        <f t="shared" si="12"/>
        <v>#VALUE!</v>
      </c>
      <c r="S132" t="e">
        <f t="shared" si="10"/>
        <v>#VALUE!</v>
      </c>
    </row>
    <row r="133" spans="9:19" x14ac:dyDescent="0.25">
      <c r="I133" t="e">
        <f t="shared" si="11"/>
        <v>#VALUE!</v>
      </c>
      <c r="J133" t="e">
        <f t="shared" si="12"/>
        <v>#VALUE!</v>
      </c>
      <c r="S133" t="e">
        <f t="shared" si="10"/>
        <v>#VALUE!</v>
      </c>
    </row>
    <row r="134" spans="9:19" x14ac:dyDescent="0.25">
      <c r="I134" t="e">
        <f t="shared" si="11"/>
        <v>#VALUE!</v>
      </c>
      <c r="J134" t="e">
        <f t="shared" si="12"/>
        <v>#VALUE!</v>
      </c>
      <c r="S134" t="e">
        <f t="shared" si="10"/>
        <v>#VALUE!</v>
      </c>
    </row>
    <row r="135" spans="9:19" x14ac:dyDescent="0.25">
      <c r="I135" t="e">
        <f t="shared" si="11"/>
        <v>#VALUE!</v>
      </c>
      <c r="J135" t="e">
        <f t="shared" si="12"/>
        <v>#VALUE!</v>
      </c>
      <c r="S135" t="e">
        <f t="shared" si="10"/>
        <v>#VALUE!</v>
      </c>
    </row>
    <row r="136" spans="9:19" x14ac:dyDescent="0.25">
      <c r="I136" t="e">
        <f t="shared" si="11"/>
        <v>#VALUE!</v>
      </c>
      <c r="J136" t="e">
        <f t="shared" si="12"/>
        <v>#VALUE!</v>
      </c>
      <c r="S136" t="e">
        <f t="shared" si="10"/>
        <v>#VALUE!</v>
      </c>
    </row>
    <row r="137" spans="9:19" x14ac:dyDescent="0.25">
      <c r="I137" t="e">
        <f t="shared" si="11"/>
        <v>#VALUE!</v>
      </c>
      <c r="J137" t="e">
        <f t="shared" si="12"/>
        <v>#VALUE!</v>
      </c>
      <c r="S137" t="e">
        <f t="shared" si="10"/>
        <v>#VALUE!</v>
      </c>
    </row>
    <row r="138" spans="9:19" x14ac:dyDescent="0.25">
      <c r="I138" t="e">
        <f t="shared" si="11"/>
        <v>#VALUE!</v>
      </c>
      <c r="J138" t="e">
        <f t="shared" si="12"/>
        <v>#VALUE!</v>
      </c>
      <c r="S138" t="e">
        <f t="shared" si="10"/>
        <v>#VALUE!</v>
      </c>
    </row>
    <row r="139" spans="9:19" x14ac:dyDescent="0.25">
      <c r="I139" t="e">
        <f t="shared" si="11"/>
        <v>#VALUE!</v>
      </c>
      <c r="J139" t="e">
        <f t="shared" si="12"/>
        <v>#VALUE!</v>
      </c>
      <c r="S139" t="e">
        <f t="shared" si="10"/>
        <v>#VALUE!</v>
      </c>
    </row>
    <row r="140" spans="9:19" x14ac:dyDescent="0.25">
      <c r="I140" t="e">
        <f t="shared" si="11"/>
        <v>#VALUE!</v>
      </c>
      <c r="J140" t="e">
        <f t="shared" si="12"/>
        <v>#VALUE!</v>
      </c>
      <c r="S140" t="e">
        <f t="shared" si="10"/>
        <v>#VALUE!</v>
      </c>
    </row>
    <row r="141" spans="9:19" x14ac:dyDescent="0.25">
      <c r="I141" t="e">
        <f t="shared" si="11"/>
        <v>#VALUE!</v>
      </c>
      <c r="J141" t="e">
        <f t="shared" si="12"/>
        <v>#VALUE!</v>
      </c>
      <c r="S141" t="e">
        <f t="shared" si="10"/>
        <v>#VALUE!</v>
      </c>
    </row>
    <row r="142" spans="9:19" x14ac:dyDescent="0.25">
      <c r="I142" t="e">
        <f t="shared" si="11"/>
        <v>#VALUE!</v>
      </c>
      <c r="J142" t="e">
        <f t="shared" si="12"/>
        <v>#VALUE!</v>
      </c>
      <c r="S142" t="e">
        <f t="shared" si="10"/>
        <v>#VALUE!</v>
      </c>
    </row>
    <row r="143" spans="9:19" x14ac:dyDescent="0.25">
      <c r="I143" t="e">
        <f t="shared" si="11"/>
        <v>#VALUE!</v>
      </c>
      <c r="J143" t="e">
        <f t="shared" si="12"/>
        <v>#VALUE!</v>
      </c>
      <c r="S143" t="e">
        <f t="shared" si="10"/>
        <v>#VALUE!</v>
      </c>
    </row>
    <row r="144" spans="9:19" x14ac:dyDescent="0.25">
      <c r="I144" t="e">
        <f t="shared" si="11"/>
        <v>#VALUE!</v>
      </c>
      <c r="J144" t="e">
        <f t="shared" si="12"/>
        <v>#VALUE!</v>
      </c>
      <c r="S144" t="e">
        <f t="shared" si="10"/>
        <v>#VALUE!</v>
      </c>
    </row>
    <row r="145" spans="9:19" x14ac:dyDescent="0.25">
      <c r="I145" t="e">
        <f t="shared" si="11"/>
        <v>#VALUE!</v>
      </c>
      <c r="J145" t="e">
        <f t="shared" si="12"/>
        <v>#VALUE!</v>
      </c>
      <c r="S145" t="e">
        <f t="shared" si="10"/>
        <v>#VALUE!</v>
      </c>
    </row>
    <row r="146" spans="9:19" x14ac:dyDescent="0.25">
      <c r="I146" t="e">
        <f t="shared" si="11"/>
        <v>#VALUE!</v>
      </c>
      <c r="J146" t="e">
        <f t="shared" si="12"/>
        <v>#VALUE!</v>
      </c>
      <c r="S146" t="e">
        <f t="shared" si="10"/>
        <v>#VALUE!</v>
      </c>
    </row>
    <row r="147" spans="9:19" x14ac:dyDescent="0.25">
      <c r="I147" t="e">
        <f t="shared" si="11"/>
        <v>#VALUE!</v>
      </c>
      <c r="J147" t="e">
        <f t="shared" si="12"/>
        <v>#VALUE!</v>
      </c>
      <c r="S147" t="e">
        <f t="shared" si="10"/>
        <v>#VALUE!</v>
      </c>
    </row>
    <row r="148" spans="9:19" x14ac:dyDescent="0.25">
      <c r="I148" t="e">
        <f t="shared" si="11"/>
        <v>#VALUE!</v>
      </c>
      <c r="J148" t="e">
        <f t="shared" si="12"/>
        <v>#VALUE!</v>
      </c>
      <c r="S148" t="e">
        <f t="shared" si="10"/>
        <v>#VALUE!</v>
      </c>
    </row>
    <row r="149" spans="9:19" x14ac:dyDescent="0.25">
      <c r="I149" t="e">
        <f t="shared" ref="I149:I212" si="13">LEFT(A149,FIND(" ",A149,1))</f>
        <v>#VALUE!</v>
      </c>
      <c r="J149" t="e">
        <f t="shared" ref="J149:J212" si="14">MID(A149,FIND(" ",A149),FIND(".",A149,8)-FIND(" ",A149))</f>
        <v>#VALUE!</v>
      </c>
      <c r="S149" t="e">
        <f t="shared" ref="S149:S212" si="15">((LEN(I149)-LEN(SUBSTITUTE(I149,".","")))/LEN("."))+1</f>
        <v>#VALUE!</v>
      </c>
    </row>
    <row r="150" spans="9:19" x14ac:dyDescent="0.25">
      <c r="I150" t="e">
        <f t="shared" si="13"/>
        <v>#VALUE!</v>
      </c>
      <c r="J150" t="e">
        <f t="shared" si="14"/>
        <v>#VALUE!</v>
      </c>
      <c r="S150" t="e">
        <f t="shared" si="15"/>
        <v>#VALUE!</v>
      </c>
    </row>
    <row r="151" spans="9:19" x14ac:dyDescent="0.25">
      <c r="I151" t="e">
        <f t="shared" si="13"/>
        <v>#VALUE!</v>
      </c>
      <c r="J151" t="e">
        <f t="shared" si="14"/>
        <v>#VALUE!</v>
      </c>
      <c r="S151" t="e">
        <f t="shared" si="15"/>
        <v>#VALUE!</v>
      </c>
    </row>
    <row r="152" spans="9:19" x14ac:dyDescent="0.25">
      <c r="I152" t="e">
        <f t="shared" si="13"/>
        <v>#VALUE!</v>
      </c>
      <c r="J152" t="e">
        <f t="shared" si="14"/>
        <v>#VALUE!</v>
      </c>
      <c r="S152" t="e">
        <f t="shared" si="15"/>
        <v>#VALUE!</v>
      </c>
    </row>
    <row r="153" spans="9:19" x14ac:dyDescent="0.25">
      <c r="I153" t="e">
        <f t="shared" si="13"/>
        <v>#VALUE!</v>
      </c>
      <c r="J153" t="e">
        <f t="shared" si="14"/>
        <v>#VALUE!</v>
      </c>
      <c r="S153" t="e">
        <f t="shared" si="15"/>
        <v>#VALUE!</v>
      </c>
    </row>
    <row r="154" spans="9:19" x14ac:dyDescent="0.25">
      <c r="I154" t="e">
        <f t="shared" si="13"/>
        <v>#VALUE!</v>
      </c>
      <c r="J154" t="e">
        <f t="shared" si="14"/>
        <v>#VALUE!</v>
      </c>
      <c r="S154" t="e">
        <f t="shared" si="15"/>
        <v>#VALUE!</v>
      </c>
    </row>
    <row r="155" spans="9:19" x14ac:dyDescent="0.25">
      <c r="I155" t="e">
        <f t="shared" si="13"/>
        <v>#VALUE!</v>
      </c>
      <c r="J155" t="e">
        <f t="shared" si="14"/>
        <v>#VALUE!</v>
      </c>
      <c r="S155" t="e">
        <f t="shared" si="15"/>
        <v>#VALUE!</v>
      </c>
    </row>
    <row r="156" spans="9:19" x14ac:dyDescent="0.25">
      <c r="I156" t="e">
        <f t="shared" si="13"/>
        <v>#VALUE!</v>
      </c>
      <c r="J156" t="e">
        <f t="shared" si="14"/>
        <v>#VALUE!</v>
      </c>
      <c r="S156" t="e">
        <f t="shared" si="15"/>
        <v>#VALUE!</v>
      </c>
    </row>
    <row r="157" spans="9:19" x14ac:dyDescent="0.25">
      <c r="I157" t="e">
        <f t="shared" si="13"/>
        <v>#VALUE!</v>
      </c>
      <c r="J157" t="e">
        <f t="shared" si="14"/>
        <v>#VALUE!</v>
      </c>
      <c r="S157" t="e">
        <f t="shared" si="15"/>
        <v>#VALUE!</v>
      </c>
    </row>
    <row r="158" spans="9:19" x14ac:dyDescent="0.25">
      <c r="I158" t="e">
        <f t="shared" si="13"/>
        <v>#VALUE!</v>
      </c>
      <c r="J158" t="e">
        <f t="shared" si="14"/>
        <v>#VALUE!</v>
      </c>
      <c r="S158" t="e">
        <f t="shared" si="15"/>
        <v>#VALUE!</v>
      </c>
    </row>
    <row r="159" spans="9:19" x14ac:dyDescent="0.25">
      <c r="I159" t="e">
        <f t="shared" si="13"/>
        <v>#VALUE!</v>
      </c>
      <c r="J159" t="e">
        <f t="shared" si="14"/>
        <v>#VALUE!</v>
      </c>
      <c r="S159" t="e">
        <f t="shared" si="15"/>
        <v>#VALUE!</v>
      </c>
    </row>
    <row r="160" spans="9:19" x14ac:dyDescent="0.25">
      <c r="I160" t="e">
        <f t="shared" si="13"/>
        <v>#VALUE!</v>
      </c>
      <c r="J160" t="e">
        <f t="shared" si="14"/>
        <v>#VALUE!</v>
      </c>
      <c r="S160" t="e">
        <f t="shared" si="15"/>
        <v>#VALUE!</v>
      </c>
    </row>
    <row r="161" spans="9:19" x14ac:dyDescent="0.25">
      <c r="I161" t="e">
        <f t="shared" si="13"/>
        <v>#VALUE!</v>
      </c>
      <c r="J161" t="e">
        <f t="shared" si="14"/>
        <v>#VALUE!</v>
      </c>
      <c r="S161" t="e">
        <f t="shared" si="15"/>
        <v>#VALUE!</v>
      </c>
    </row>
    <row r="162" spans="9:19" x14ac:dyDescent="0.25">
      <c r="I162" t="e">
        <f t="shared" si="13"/>
        <v>#VALUE!</v>
      </c>
      <c r="J162" t="e">
        <f t="shared" si="14"/>
        <v>#VALUE!</v>
      </c>
      <c r="S162" t="e">
        <f t="shared" si="15"/>
        <v>#VALUE!</v>
      </c>
    </row>
    <row r="163" spans="9:19" x14ac:dyDescent="0.25">
      <c r="I163" t="e">
        <f t="shared" si="13"/>
        <v>#VALUE!</v>
      </c>
      <c r="J163" t="e">
        <f t="shared" si="14"/>
        <v>#VALUE!</v>
      </c>
      <c r="S163" t="e">
        <f t="shared" si="15"/>
        <v>#VALUE!</v>
      </c>
    </row>
    <row r="164" spans="9:19" x14ac:dyDescent="0.25">
      <c r="I164" t="e">
        <f t="shared" si="13"/>
        <v>#VALUE!</v>
      </c>
      <c r="J164" t="e">
        <f t="shared" si="14"/>
        <v>#VALUE!</v>
      </c>
      <c r="S164" t="e">
        <f t="shared" si="15"/>
        <v>#VALUE!</v>
      </c>
    </row>
    <row r="165" spans="9:19" x14ac:dyDescent="0.25">
      <c r="I165" t="e">
        <f t="shared" si="13"/>
        <v>#VALUE!</v>
      </c>
      <c r="J165" t="e">
        <f t="shared" si="14"/>
        <v>#VALUE!</v>
      </c>
      <c r="S165" t="e">
        <f t="shared" si="15"/>
        <v>#VALUE!</v>
      </c>
    </row>
    <row r="166" spans="9:19" x14ac:dyDescent="0.25">
      <c r="I166" t="e">
        <f t="shared" si="13"/>
        <v>#VALUE!</v>
      </c>
      <c r="J166" t="e">
        <f t="shared" si="14"/>
        <v>#VALUE!</v>
      </c>
      <c r="S166" t="e">
        <f t="shared" si="15"/>
        <v>#VALUE!</v>
      </c>
    </row>
    <row r="167" spans="9:19" x14ac:dyDescent="0.25">
      <c r="I167" t="e">
        <f t="shared" si="13"/>
        <v>#VALUE!</v>
      </c>
      <c r="J167" t="e">
        <f t="shared" si="14"/>
        <v>#VALUE!</v>
      </c>
      <c r="S167" t="e">
        <f t="shared" si="15"/>
        <v>#VALUE!</v>
      </c>
    </row>
    <row r="168" spans="9:19" x14ac:dyDescent="0.25">
      <c r="I168" t="e">
        <f t="shared" si="13"/>
        <v>#VALUE!</v>
      </c>
      <c r="J168" t="e">
        <f t="shared" si="14"/>
        <v>#VALUE!</v>
      </c>
      <c r="S168" t="e">
        <f t="shared" si="15"/>
        <v>#VALUE!</v>
      </c>
    </row>
    <row r="169" spans="9:19" x14ac:dyDescent="0.25">
      <c r="I169" t="e">
        <f t="shared" si="13"/>
        <v>#VALUE!</v>
      </c>
      <c r="J169" t="e">
        <f t="shared" si="14"/>
        <v>#VALUE!</v>
      </c>
      <c r="S169" t="e">
        <f t="shared" si="15"/>
        <v>#VALUE!</v>
      </c>
    </row>
    <row r="170" spans="9:19" x14ac:dyDescent="0.25">
      <c r="I170" t="e">
        <f t="shared" si="13"/>
        <v>#VALUE!</v>
      </c>
      <c r="J170" t="e">
        <f t="shared" si="14"/>
        <v>#VALUE!</v>
      </c>
      <c r="S170" t="e">
        <f t="shared" si="15"/>
        <v>#VALUE!</v>
      </c>
    </row>
    <row r="171" spans="9:19" x14ac:dyDescent="0.25">
      <c r="I171" t="e">
        <f t="shared" si="13"/>
        <v>#VALUE!</v>
      </c>
      <c r="J171" t="e">
        <f t="shared" si="14"/>
        <v>#VALUE!</v>
      </c>
      <c r="S171" t="e">
        <f t="shared" si="15"/>
        <v>#VALUE!</v>
      </c>
    </row>
    <row r="172" spans="9:19" x14ac:dyDescent="0.25">
      <c r="I172" t="e">
        <f t="shared" si="13"/>
        <v>#VALUE!</v>
      </c>
      <c r="J172" t="e">
        <f t="shared" si="14"/>
        <v>#VALUE!</v>
      </c>
      <c r="S172" t="e">
        <f t="shared" si="15"/>
        <v>#VALUE!</v>
      </c>
    </row>
    <row r="173" spans="9:19" x14ac:dyDescent="0.25">
      <c r="I173" t="e">
        <f t="shared" si="13"/>
        <v>#VALUE!</v>
      </c>
      <c r="J173" t="e">
        <f t="shared" si="14"/>
        <v>#VALUE!</v>
      </c>
      <c r="S173" t="e">
        <f t="shared" si="15"/>
        <v>#VALUE!</v>
      </c>
    </row>
    <row r="174" spans="9:19" x14ac:dyDescent="0.25">
      <c r="I174" t="e">
        <f t="shared" si="13"/>
        <v>#VALUE!</v>
      </c>
      <c r="J174" t="e">
        <f t="shared" si="14"/>
        <v>#VALUE!</v>
      </c>
      <c r="S174" t="e">
        <f t="shared" si="15"/>
        <v>#VALUE!</v>
      </c>
    </row>
    <row r="175" spans="9:19" x14ac:dyDescent="0.25">
      <c r="I175" t="e">
        <f t="shared" si="13"/>
        <v>#VALUE!</v>
      </c>
      <c r="J175" t="e">
        <f t="shared" si="14"/>
        <v>#VALUE!</v>
      </c>
      <c r="S175" t="e">
        <f t="shared" si="15"/>
        <v>#VALUE!</v>
      </c>
    </row>
    <row r="176" spans="9:19" x14ac:dyDescent="0.25">
      <c r="I176" t="e">
        <f t="shared" si="13"/>
        <v>#VALUE!</v>
      </c>
      <c r="J176" t="e">
        <f t="shared" si="14"/>
        <v>#VALUE!</v>
      </c>
      <c r="S176" t="e">
        <f t="shared" si="15"/>
        <v>#VALUE!</v>
      </c>
    </row>
    <row r="177" spans="9:19" x14ac:dyDescent="0.25">
      <c r="I177" t="e">
        <f t="shared" si="13"/>
        <v>#VALUE!</v>
      </c>
      <c r="J177" t="e">
        <f t="shared" si="14"/>
        <v>#VALUE!</v>
      </c>
      <c r="S177" t="e">
        <f t="shared" si="15"/>
        <v>#VALUE!</v>
      </c>
    </row>
    <row r="178" spans="9:19" x14ac:dyDescent="0.25">
      <c r="I178" t="e">
        <f t="shared" si="13"/>
        <v>#VALUE!</v>
      </c>
      <c r="J178" t="e">
        <f t="shared" si="14"/>
        <v>#VALUE!</v>
      </c>
      <c r="S178" t="e">
        <f t="shared" si="15"/>
        <v>#VALUE!</v>
      </c>
    </row>
    <row r="179" spans="9:19" x14ac:dyDescent="0.25">
      <c r="I179" t="e">
        <f t="shared" si="13"/>
        <v>#VALUE!</v>
      </c>
      <c r="J179" t="e">
        <f t="shared" si="14"/>
        <v>#VALUE!</v>
      </c>
      <c r="S179" t="e">
        <f t="shared" si="15"/>
        <v>#VALUE!</v>
      </c>
    </row>
    <row r="180" spans="9:19" x14ac:dyDescent="0.25">
      <c r="I180" t="e">
        <f t="shared" si="13"/>
        <v>#VALUE!</v>
      </c>
      <c r="J180" t="e">
        <f t="shared" si="14"/>
        <v>#VALUE!</v>
      </c>
      <c r="S180" t="e">
        <f t="shared" si="15"/>
        <v>#VALUE!</v>
      </c>
    </row>
    <row r="181" spans="9:19" x14ac:dyDescent="0.25">
      <c r="I181" t="e">
        <f t="shared" si="13"/>
        <v>#VALUE!</v>
      </c>
      <c r="J181" t="e">
        <f t="shared" si="14"/>
        <v>#VALUE!</v>
      </c>
      <c r="S181" t="e">
        <f t="shared" si="15"/>
        <v>#VALUE!</v>
      </c>
    </row>
    <row r="182" spans="9:19" x14ac:dyDescent="0.25">
      <c r="I182" t="e">
        <f t="shared" si="13"/>
        <v>#VALUE!</v>
      </c>
      <c r="J182" t="e">
        <f t="shared" si="14"/>
        <v>#VALUE!</v>
      </c>
      <c r="S182" t="e">
        <f t="shared" si="15"/>
        <v>#VALUE!</v>
      </c>
    </row>
    <row r="183" spans="9:19" x14ac:dyDescent="0.25">
      <c r="I183" t="e">
        <f t="shared" si="13"/>
        <v>#VALUE!</v>
      </c>
      <c r="J183" t="e">
        <f t="shared" si="14"/>
        <v>#VALUE!</v>
      </c>
      <c r="S183" t="e">
        <f t="shared" si="15"/>
        <v>#VALUE!</v>
      </c>
    </row>
    <row r="184" spans="9:19" x14ac:dyDescent="0.25">
      <c r="I184" t="e">
        <f t="shared" si="13"/>
        <v>#VALUE!</v>
      </c>
      <c r="J184" t="e">
        <f t="shared" si="14"/>
        <v>#VALUE!</v>
      </c>
      <c r="S184" t="e">
        <f t="shared" si="15"/>
        <v>#VALUE!</v>
      </c>
    </row>
    <row r="185" spans="9:19" x14ac:dyDescent="0.25">
      <c r="I185" t="e">
        <f t="shared" si="13"/>
        <v>#VALUE!</v>
      </c>
      <c r="J185" t="e">
        <f t="shared" si="14"/>
        <v>#VALUE!</v>
      </c>
      <c r="S185" t="e">
        <f t="shared" si="15"/>
        <v>#VALUE!</v>
      </c>
    </row>
    <row r="186" spans="9:19" x14ac:dyDescent="0.25">
      <c r="I186" t="e">
        <f t="shared" si="13"/>
        <v>#VALUE!</v>
      </c>
      <c r="J186" t="e">
        <f t="shared" si="14"/>
        <v>#VALUE!</v>
      </c>
      <c r="S186" t="e">
        <f t="shared" si="15"/>
        <v>#VALUE!</v>
      </c>
    </row>
    <row r="187" spans="9:19" x14ac:dyDescent="0.25">
      <c r="I187" t="e">
        <f t="shared" si="13"/>
        <v>#VALUE!</v>
      </c>
      <c r="J187" t="e">
        <f t="shared" si="14"/>
        <v>#VALUE!</v>
      </c>
      <c r="S187" t="e">
        <f t="shared" si="15"/>
        <v>#VALUE!</v>
      </c>
    </row>
    <row r="188" spans="9:19" x14ac:dyDescent="0.25">
      <c r="I188" t="e">
        <f t="shared" si="13"/>
        <v>#VALUE!</v>
      </c>
      <c r="J188" t="e">
        <f t="shared" si="14"/>
        <v>#VALUE!</v>
      </c>
      <c r="S188" t="e">
        <f t="shared" si="15"/>
        <v>#VALUE!</v>
      </c>
    </row>
    <row r="189" spans="9:19" x14ac:dyDescent="0.25">
      <c r="I189" t="e">
        <f t="shared" si="13"/>
        <v>#VALUE!</v>
      </c>
      <c r="J189" t="e">
        <f t="shared" si="14"/>
        <v>#VALUE!</v>
      </c>
      <c r="S189" t="e">
        <f t="shared" si="15"/>
        <v>#VALUE!</v>
      </c>
    </row>
    <row r="190" spans="9:19" x14ac:dyDescent="0.25">
      <c r="I190" t="e">
        <f t="shared" si="13"/>
        <v>#VALUE!</v>
      </c>
      <c r="J190" t="e">
        <f t="shared" si="14"/>
        <v>#VALUE!</v>
      </c>
      <c r="S190" t="e">
        <f t="shared" si="15"/>
        <v>#VALUE!</v>
      </c>
    </row>
    <row r="191" spans="9:19" x14ac:dyDescent="0.25">
      <c r="I191" t="e">
        <f t="shared" si="13"/>
        <v>#VALUE!</v>
      </c>
      <c r="J191" t="e">
        <f t="shared" si="14"/>
        <v>#VALUE!</v>
      </c>
      <c r="S191" t="e">
        <f t="shared" si="15"/>
        <v>#VALUE!</v>
      </c>
    </row>
    <row r="192" spans="9:19" x14ac:dyDescent="0.25">
      <c r="I192" t="e">
        <f t="shared" si="13"/>
        <v>#VALUE!</v>
      </c>
      <c r="J192" t="e">
        <f t="shared" si="14"/>
        <v>#VALUE!</v>
      </c>
      <c r="S192" t="e">
        <f t="shared" si="15"/>
        <v>#VALUE!</v>
      </c>
    </row>
    <row r="193" spans="9:19" x14ac:dyDescent="0.25">
      <c r="I193" t="e">
        <f t="shared" si="13"/>
        <v>#VALUE!</v>
      </c>
      <c r="J193" t="e">
        <f t="shared" si="14"/>
        <v>#VALUE!</v>
      </c>
      <c r="S193" t="e">
        <f t="shared" si="15"/>
        <v>#VALUE!</v>
      </c>
    </row>
    <row r="194" spans="9:19" x14ac:dyDescent="0.25">
      <c r="I194" t="e">
        <f t="shared" si="13"/>
        <v>#VALUE!</v>
      </c>
      <c r="J194" t="e">
        <f t="shared" si="14"/>
        <v>#VALUE!</v>
      </c>
      <c r="S194" t="e">
        <f t="shared" si="15"/>
        <v>#VALUE!</v>
      </c>
    </row>
    <row r="195" spans="9:19" x14ac:dyDescent="0.25">
      <c r="I195" t="e">
        <f t="shared" si="13"/>
        <v>#VALUE!</v>
      </c>
      <c r="J195" t="e">
        <f t="shared" si="14"/>
        <v>#VALUE!</v>
      </c>
      <c r="S195" t="e">
        <f t="shared" si="15"/>
        <v>#VALUE!</v>
      </c>
    </row>
    <row r="196" spans="9:19" x14ac:dyDescent="0.25">
      <c r="I196" t="e">
        <f t="shared" si="13"/>
        <v>#VALUE!</v>
      </c>
      <c r="J196" t="e">
        <f t="shared" si="14"/>
        <v>#VALUE!</v>
      </c>
      <c r="S196" t="e">
        <f t="shared" si="15"/>
        <v>#VALUE!</v>
      </c>
    </row>
    <row r="197" spans="9:19" x14ac:dyDescent="0.25">
      <c r="I197" t="e">
        <f t="shared" si="13"/>
        <v>#VALUE!</v>
      </c>
      <c r="J197" t="e">
        <f t="shared" si="14"/>
        <v>#VALUE!</v>
      </c>
      <c r="S197" t="e">
        <f t="shared" si="15"/>
        <v>#VALUE!</v>
      </c>
    </row>
    <row r="198" spans="9:19" x14ac:dyDescent="0.25">
      <c r="I198" t="e">
        <f t="shared" si="13"/>
        <v>#VALUE!</v>
      </c>
      <c r="J198" t="e">
        <f t="shared" si="14"/>
        <v>#VALUE!</v>
      </c>
      <c r="S198" t="e">
        <f t="shared" si="15"/>
        <v>#VALUE!</v>
      </c>
    </row>
    <row r="199" spans="9:19" x14ac:dyDescent="0.25">
      <c r="I199" t="e">
        <f t="shared" si="13"/>
        <v>#VALUE!</v>
      </c>
      <c r="J199" t="e">
        <f t="shared" si="14"/>
        <v>#VALUE!</v>
      </c>
      <c r="S199" t="e">
        <f t="shared" si="15"/>
        <v>#VALUE!</v>
      </c>
    </row>
    <row r="200" spans="9:19" x14ac:dyDescent="0.25">
      <c r="I200" t="e">
        <f t="shared" si="13"/>
        <v>#VALUE!</v>
      </c>
      <c r="J200" t="e">
        <f t="shared" si="14"/>
        <v>#VALUE!</v>
      </c>
      <c r="S200" t="e">
        <f t="shared" si="15"/>
        <v>#VALUE!</v>
      </c>
    </row>
    <row r="201" spans="9:19" x14ac:dyDescent="0.25">
      <c r="I201" t="e">
        <f t="shared" si="13"/>
        <v>#VALUE!</v>
      </c>
      <c r="J201" t="e">
        <f t="shared" si="14"/>
        <v>#VALUE!</v>
      </c>
      <c r="S201" t="e">
        <f t="shared" si="15"/>
        <v>#VALUE!</v>
      </c>
    </row>
    <row r="202" spans="9:19" x14ac:dyDescent="0.25">
      <c r="I202" t="e">
        <f t="shared" si="13"/>
        <v>#VALUE!</v>
      </c>
      <c r="J202" t="e">
        <f t="shared" si="14"/>
        <v>#VALUE!</v>
      </c>
      <c r="S202" t="e">
        <f t="shared" si="15"/>
        <v>#VALUE!</v>
      </c>
    </row>
    <row r="203" spans="9:19" x14ac:dyDescent="0.25">
      <c r="I203" t="e">
        <f t="shared" si="13"/>
        <v>#VALUE!</v>
      </c>
      <c r="J203" t="e">
        <f t="shared" si="14"/>
        <v>#VALUE!</v>
      </c>
      <c r="S203" t="e">
        <f t="shared" si="15"/>
        <v>#VALUE!</v>
      </c>
    </row>
    <row r="204" spans="9:19" x14ac:dyDescent="0.25">
      <c r="I204" t="e">
        <f t="shared" si="13"/>
        <v>#VALUE!</v>
      </c>
      <c r="J204" t="e">
        <f t="shared" si="14"/>
        <v>#VALUE!</v>
      </c>
      <c r="S204" t="e">
        <f t="shared" si="15"/>
        <v>#VALUE!</v>
      </c>
    </row>
    <row r="205" spans="9:19" x14ac:dyDescent="0.25">
      <c r="I205" t="e">
        <f t="shared" si="13"/>
        <v>#VALUE!</v>
      </c>
      <c r="J205" t="e">
        <f t="shared" si="14"/>
        <v>#VALUE!</v>
      </c>
      <c r="S205" t="e">
        <f t="shared" si="15"/>
        <v>#VALUE!</v>
      </c>
    </row>
    <row r="206" spans="9:19" x14ac:dyDescent="0.25">
      <c r="I206" t="e">
        <f t="shared" si="13"/>
        <v>#VALUE!</v>
      </c>
      <c r="J206" t="e">
        <f t="shared" si="14"/>
        <v>#VALUE!</v>
      </c>
      <c r="S206" t="e">
        <f t="shared" si="15"/>
        <v>#VALUE!</v>
      </c>
    </row>
    <row r="207" spans="9:19" x14ac:dyDescent="0.25">
      <c r="I207" t="e">
        <f t="shared" si="13"/>
        <v>#VALUE!</v>
      </c>
      <c r="J207" t="e">
        <f t="shared" si="14"/>
        <v>#VALUE!</v>
      </c>
      <c r="S207" t="e">
        <f t="shared" si="15"/>
        <v>#VALUE!</v>
      </c>
    </row>
    <row r="208" spans="9:19" x14ac:dyDescent="0.25">
      <c r="I208" t="e">
        <f t="shared" si="13"/>
        <v>#VALUE!</v>
      </c>
      <c r="J208" t="e">
        <f t="shared" si="14"/>
        <v>#VALUE!</v>
      </c>
      <c r="S208" t="e">
        <f t="shared" si="15"/>
        <v>#VALUE!</v>
      </c>
    </row>
    <row r="209" spans="9:19" x14ac:dyDescent="0.25">
      <c r="I209" t="e">
        <f t="shared" si="13"/>
        <v>#VALUE!</v>
      </c>
      <c r="J209" t="e">
        <f t="shared" si="14"/>
        <v>#VALUE!</v>
      </c>
      <c r="S209" t="e">
        <f t="shared" si="15"/>
        <v>#VALUE!</v>
      </c>
    </row>
    <row r="210" spans="9:19" x14ac:dyDescent="0.25">
      <c r="I210" t="e">
        <f t="shared" si="13"/>
        <v>#VALUE!</v>
      </c>
      <c r="J210" t="e">
        <f t="shared" si="14"/>
        <v>#VALUE!</v>
      </c>
      <c r="S210" t="e">
        <f t="shared" si="15"/>
        <v>#VALUE!</v>
      </c>
    </row>
    <row r="211" spans="9:19" x14ac:dyDescent="0.25">
      <c r="I211" t="e">
        <f t="shared" si="13"/>
        <v>#VALUE!</v>
      </c>
      <c r="J211" t="e">
        <f t="shared" si="14"/>
        <v>#VALUE!</v>
      </c>
      <c r="S211" t="e">
        <f t="shared" si="15"/>
        <v>#VALUE!</v>
      </c>
    </row>
    <row r="212" spans="9:19" x14ac:dyDescent="0.25">
      <c r="I212" t="e">
        <f t="shared" si="13"/>
        <v>#VALUE!</v>
      </c>
      <c r="J212" t="e">
        <f t="shared" si="14"/>
        <v>#VALUE!</v>
      </c>
      <c r="S212" t="e">
        <f t="shared" si="15"/>
        <v>#VALUE!</v>
      </c>
    </row>
    <row r="213" spans="9:19" x14ac:dyDescent="0.25">
      <c r="I213" t="e">
        <f t="shared" ref="I213:I220" si="16">LEFT(A213,FIND(" ",A213,1))</f>
        <v>#VALUE!</v>
      </c>
      <c r="J213" t="e">
        <f t="shared" ref="J213:J220" si="17">MID(A213,FIND(" ",A213),FIND(".",A213,8)-FIND(" ",A213))</f>
        <v>#VALUE!</v>
      </c>
      <c r="S213" t="e">
        <f t="shared" ref="S213:S220" si="18">((LEN(I213)-LEN(SUBSTITUTE(I213,".","")))/LEN("."))+1</f>
        <v>#VALUE!</v>
      </c>
    </row>
    <row r="214" spans="9:19" x14ac:dyDescent="0.25">
      <c r="I214" t="e">
        <f t="shared" si="16"/>
        <v>#VALUE!</v>
      </c>
      <c r="J214" t="e">
        <f t="shared" si="17"/>
        <v>#VALUE!</v>
      </c>
      <c r="S214" t="e">
        <f t="shared" si="18"/>
        <v>#VALUE!</v>
      </c>
    </row>
    <row r="215" spans="9:19" x14ac:dyDescent="0.25">
      <c r="I215" t="e">
        <f t="shared" si="16"/>
        <v>#VALUE!</v>
      </c>
      <c r="J215" t="e">
        <f t="shared" si="17"/>
        <v>#VALUE!</v>
      </c>
      <c r="S215" t="e">
        <f t="shared" si="18"/>
        <v>#VALUE!</v>
      </c>
    </row>
    <row r="216" spans="9:19" x14ac:dyDescent="0.25">
      <c r="I216" t="e">
        <f t="shared" si="16"/>
        <v>#VALUE!</v>
      </c>
      <c r="J216" t="e">
        <f t="shared" si="17"/>
        <v>#VALUE!</v>
      </c>
      <c r="S216" t="e">
        <f t="shared" si="18"/>
        <v>#VALUE!</v>
      </c>
    </row>
    <row r="217" spans="9:19" x14ac:dyDescent="0.25">
      <c r="I217" t="e">
        <f t="shared" si="16"/>
        <v>#VALUE!</v>
      </c>
      <c r="J217" t="e">
        <f t="shared" si="17"/>
        <v>#VALUE!</v>
      </c>
      <c r="S217" t="e">
        <f t="shared" si="18"/>
        <v>#VALUE!</v>
      </c>
    </row>
    <row r="218" spans="9:19" x14ac:dyDescent="0.25">
      <c r="I218" t="e">
        <f t="shared" si="16"/>
        <v>#VALUE!</v>
      </c>
      <c r="J218" t="e">
        <f t="shared" si="17"/>
        <v>#VALUE!</v>
      </c>
      <c r="S218" t="e">
        <f t="shared" si="18"/>
        <v>#VALUE!</v>
      </c>
    </row>
    <row r="219" spans="9:19" x14ac:dyDescent="0.25">
      <c r="I219" t="e">
        <f t="shared" si="16"/>
        <v>#VALUE!</v>
      </c>
      <c r="J219" t="e">
        <f t="shared" si="17"/>
        <v>#VALUE!</v>
      </c>
      <c r="S219" t="e">
        <f t="shared" si="18"/>
        <v>#VALUE!</v>
      </c>
    </row>
    <row r="220" spans="9:19" x14ac:dyDescent="0.25">
      <c r="I220" t="e">
        <f t="shared" si="16"/>
        <v>#VALUE!</v>
      </c>
      <c r="J220" t="e">
        <f t="shared" si="17"/>
        <v>#VALUE!</v>
      </c>
      <c r="S220" t="e">
        <f t="shared" si="18"/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CEF0-EFCD-4974-8AB6-0C1B698C0B40}">
  <dimension ref="A1:P197"/>
  <sheetViews>
    <sheetView zoomScale="70" zoomScaleNormal="70" workbookViewId="0">
      <selection activeCell="H5" sqref="H5"/>
    </sheetView>
  </sheetViews>
  <sheetFormatPr defaultRowHeight="15" x14ac:dyDescent="0.25"/>
  <cols>
    <col min="1" max="1" width="86.5703125" bestFit="1" customWidth="1"/>
    <col min="2" max="2" width="73" hidden="1" customWidth="1"/>
    <col min="8" max="14" width="63.85546875" bestFit="1" customWidth="1"/>
    <col min="15" max="15" width="76" customWidth="1"/>
  </cols>
  <sheetData>
    <row r="1" spans="1:16" x14ac:dyDescent="0.25">
      <c r="B1" t="s">
        <v>624</v>
      </c>
      <c r="C1" t="s">
        <v>624</v>
      </c>
      <c r="E1" t="s">
        <v>624</v>
      </c>
      <c r="F1" t="s">
        <v>624</v>
      </c>
      <c r="G1" t="s">
        <v>624</v>
      </c>
      <c r="H1" t="s">
        <v>624</v>
      </c>
      <c r="I1" t="s">
        <v>624</v>
      </c>
      <c r="J1" t="s">
        <v>624</v>
      </c>
      <c r="K1" t="s">
        <v>624</v>
      </c>
      <c r="L1" t="s">
        <v>624</v>
      </c>
      <c r="M1" t="s">
        <v>624</v>
      </c>
      <c r="N1" t="s">
        <v>624</v>
      </c>
    </row>
    <row r="2" spans="1:16" x14ac:dyDescent="0.25">
      <c r="A2" t="s">
        <v>465</v>
      </c>
      <c r="B2" t="str">
        <f>IF(H2="",IF(I2="",IF(J2="",IF(K2="",IF(L2="",IF(M2="",IF(N2="",IF(O2="","",_xlfn.CONCAT(D2,E2,F2," - ",O2)),_xlfn.CONCAT(D2,E2,F2," - ",N2)),_xlfn.CONCAT(D2,E2,F2," - ",M2)),_xlfn.CONCAT(D2,E2,F2," - ",L2)),_xlfn.CONCAT(D2,E2,F2," - ",K2)),_xlfn.CONCAT(D2,E2,F2," - ",J2)),_xlfn.CONCAT(D2,E2,F2," - ",I2)),_xlfn.CONCAT(D2,E2,F2," - ",H2))</f>
        <v>PTC1 - Informações gerais</v>
      </c>
      <c r="D2" t="s">
        <v>404</v>
      </c>
      <c r="E2" t="s">
        <v>405</v>
      </c>
      <c r="H2" s="2" t="s">
        <v>147</v>
      </c>
      <c r="I2" s="2" t="s">
        <v>147</v>
      </c>
      <c r="J2" s="2" t="s">
        <v>280</v>
      </c>
      <c r="K2" s="2" t="s">
        <v>147</v>
      </c>
      <c r="L2" s="2" t="s">
        <v>147</v>
      </c>
      <c r="M2" s="2" t="s">
        <v>147</v>
      </c>
      <c r="N2" s="2" t="s">
        <v>147</v>
      </c>
      <c r="O2" t="s">
        <v>625</v>
      </c>
      <c r="P2" t="s">
        <v>0</v>
      </c>
    </row>
    <row r="3" spans="1:16" x14ac:dyDescent="0.25">
      <c r="A3" t="s">
        <v>466</v>
      </c>
      <c r="B3" t="str">
        <f t="shared" ref="B3:B66" si="0">IF(H3="",IF(I3="",IF(J3="",IF(K3="",IF(L3="",IF(M3="",IF(N3="",IF(O3="","",_xlfn.CONCAT(D3,E3,F3," - ",O3)),_xlfn.CONCAT(D3,E3,F3," - ",N3)),_xlfn.CONCAT(D3,E3,F3," - ",M3)),_xlfn.CONCAT(D3,E3,F3," - ",L3)),_xlfn.CONCAT(D3,E3,F3," - ",K3)),_xlfn.CONCAT(D3,E3,F3," - ",J3)),_xlfn.CONCAT(D3,E3,F3," - ",I3)),_xlfn.CONCAT(D3,E3,F3," - ",H3))</f>
        <v>PTC1001 - Grupo-alvo</v>
      </c>
      <c r="D3" t="s">
        <v>404</v>
      </c>
      <c r="E3" t="s">
        <v>405</v>
      </c>
      <c r="F3" s="8" t="s">
        <v>414</v>
      </c>
      <c r="H3" t="s">
        <v>148</v>
      </c>
      <c r="I3" t="s">
        <v>148</v>
      </c>
      <c r="J3" t="s">
        <v>148</v>
      </c>
      <c r="K3" t="s">
        <v>148</v>
      </c>
      <c r="L3" t="s">
        <v>148</v>
      </c>
      <c r="M3" t="s">
        <v>148</v>
      </c>
      <c r="N3" t="s">
        <v>148</v>
      </c>
      <c r="O3" t="s">
        <v>626</v>
      </c>
      <c r="P3" t="s">
        <v>1</v>
      </c>
    </row>
    <row r="4" spans="1:16" x14ac:dyDescent="0.25">
      <c r="A4" t="s">
        <v>467</v>
      </c>
      <c r="B4" t="str">
        <f t="shared" si="0"/>
        <v>PTC1002 - Informações sobre a documentação técnica</v>
      </c>
      <c r="D4" t="s">
        <v>404</v>
      </c>
      <c r="E4" t="s">
        <v>405</v>
      </c>
      <c r="F4" s="8" t="s">
        <v>415</v>
      </c>
      <c r="H4" t="s">
        <v>149</v>
      </c>
      <c r="I4" t="s">
        <v>149</v>
      </c>
      <c r="J4" t="s">
        <v>281</v>
      </c>
      <c r="K4" t="s">
        <v>149</v>
      </c>
      <c r="L4" t="s">
        <v>149</v>
      </c>
      <c r="M4" t="s">
        <v>281</v>
      </c>
      <c r="N4" t="s">
        <v>281</v>
      </c>
      <c r="O4" t="s">
        <v>627</v>
      </c>
      <c r="P4" t="s">
        <v>2</v>
      </c>
    </row>
    <row r="5" spans="1:16" x14ac:dyDescent="0.25">
      <c r="A5" t="s">
        <v>468</v>
      </c>
      <c r="B5" t="str">
        <f t="shared" si="0"/>
        <v>PTC1003 - Atribuição da máquina</v>
      </c>
      <c r="D5" t="s">
        <v>404</v>
      </c>
      <c r="E5" t="s">
        <v>405</v>
      </c>
      <c r="F5" s="8" t="s">
        <v>416</v>
      </c>
      <c r="H5" t="s">
        <v>150</v>
      </c>
      <c r="I5" t="s">
        <v>150</v>
      </c>
      <c r="J5" t="s">
        <v>150</v>
      </c>
      <c r="K5" t="s">
        <v>150</v>
      </c>
      <c r="L5" t="s">
        <v>352</v>
      </c>
      <c r="M5" t="s">
        <v>150</v>
      </c>
      <c r="N5" t="s">
        <v>150</v>
      </c>
      <c r="O5" t="s">
        <v>628</v>
      </c>
      <c r="P5" t="s">
        <v>3</v>
      </c>
    </row>
    <row r="6" spans="1:16" x14ac:dyDescent="0.25">
      <c r="A6" t="s">
        <v>469</v>
      </c>
      <c r="B6" t="str">
        <f t="shared" si="0"/>
        <v>PTC1004 - Componentes integrados</v>
      </c>
      <c r="D6" t="s">
        <v>404</v>
      </c>
      <c r="E6" t="s">
        <v>405</v>
      </c>
      <c r="F6" s="8" t="s">
        <v>417</v>
      </c>
      <c r="J6" t="s">
        <v>282</v>
      </c>
      <c r="O6" t="s">
        <v>629</v>
      </c>
      <c r="P6" t="s">
        <v>282</v>
      </c>
    </row>
    <row r="7" spans="1:16" x14ac:dyDescent="0.25">
      <c r="A7" t="s">
        <v>470</v>
      </c>
      <c r="B7" t="str">
        <f t="shared" si="0"/>
        <v>PTC1005 - Assistência ao cliente</v>
      </c>
      <c r="D7" t="s">
        <v>404</v>
      </c>
      <c r="E7" t="s">
        <v>405</v>
      </c>
      <c r="F7" s="8" t="s">
        <v>418</v>
      </c>
      <c r="H7" t="s">
        <v>151</v>
      </c>
      <c r="I7" t="s">
        <v>151</v>
      </c>
      <c r="J7" t="s">
        <v>151</v>
      </c>
      <c r="K7" t="s">
        <v>151</v>
      </c>
      <c r="L7" t="s">
        <v>151</v>
      </c>
      <c r="M7" t="s">
        <v>151</v>
      </c>
      <c r="N7" t="s">
        <v>151</v>
      </c>
      <c r="O7" t="s">
        <v>630</v>
      </c>
      <c r="P7" t="s">
        <v>4</v>
      </c>
    </row>
    <row r="8" spans="1:16" x14ac:dyDescent="0.25">
      <c r="A8" t="s">
        <v>471</v>
      </c>
      <c r="B8" t="str">
        <f t="shared" si="0"/>
        <v>PTC1006 - Direitos autorais</v>
      </c>
      <c r="D8" t="s">
        <v>404</v>
      </c>
      <c r="E8" t="s">
        <v>405</v>
      </c>
      <c r="F8" s="8" t="s">
        <v>419</v>
      </c>
      <c r="H8" t="s">
        <v>152</v>
      </c>
      <c r="I8" t="s">
        <v>152</v>
      </c>
      <c r="J8" t="s">
        <v>152</v>
      </c>
      <c r="K8" t="s">
        <v>152</v>
      </c>
      <c r="L8" t="s">
        <v>152</v>
      </c>
      <c r="M8" t="s">
        <v>152</v>
      </c>
      <c r="N8" t="s">
        <v>152</v>
      </c>
      <c r="O8" t="s">
        <v>631</v>
      </c>
      <c r="P8" t="s">
        <v>5</v>
      </c>
    </row>
    <row r="9" spans="1:16" x14ac:dyDescent="0.25">
      <c r="A9" t="s">
        <v>472</v>
      </c>
      <c r="B9" t="str">
        <f t="shared" si="0"/>
        <v xml:space="preserve">PTC1007 - Avisos para a leitura </v>
      </c>
      <c r="D9" t="s">
        <v>404</v>
      </c>
      <c r="E9" t="s">
        <v>405</v>
      </c>
      <c r="F9" s="8" t="s">
        <v>420</v>
      </c>
      <c r="H9" t="s">
        <v>153</v>
      </c>
      <c r="I9" t="s">
        <v>153</v>
      </c>
      <c r="J9" t="s">
        <v>283</v>
      </c>
      <c r="K9" t="s">
        <v>153</v>
      </c>
      <c r="L9" t="s">
        <v>153</v>
      </c>
      <c r="M9" t="s">
        <v>283</v>
      </c>
      <c r="N9" t="s">
        <v>283</v>
      </c>
      <c r="O9" t="s">
        <v>632</v>
      </c>
      <c r="P9" t="s">
        <v>6</v>
      </c>
    </row>
    <row r="10" spans="1:16" x14ac:dyDescent="0.25">
      <c r="A10" t="s">
        <v>473</v>
      </c>
      <c r="B10" t="str">
        <f t="shared" si="0"/>
        <v>PTC2 - Segurança</v>
      </c>
      <c r="D10" t="s">
        <v>404</v>
      </c>
      <c r="E10" t="s">
        <v>406</v>
      </c>
      <c r="H10" s="2" t="s">
        <v>154</v>
      </c>
      <c r="I10" s="2" t="s">
        <v>154</v>
      </c>
      <c r="J10" s="2" t="s">
        <v>154</v>
      </c>
      <c r="K10" s="2" t="s">
        <v>154</v>
      </c>
      <c r="L10" s="2" t="s">
        <v>154</v>
      </c>
      <c r="M10" s="2" t="s">
        <v>154</v>
      </c>
      <c r="N10" s="2" t="s">
        <v>154</v>
      </c>
      <c r="O10" t="s">
        <v>633</v>
      </c>
      <c r="P10" t="s">
        <v>7</v>
      </c>
    </row>
    <row r="11" spans="1:16" x14ac:dyDescent="0.25">
      <c r="A11" t="s">
        <v>474</v>
      </c>
      <c r="B11" t="str">
        <f t="shared" si="0"/>
        <v>PTC2001 - Função de avisos de segurança</v>
      </c>
      <c r="D11" t="s">
        <v>404</v>
      </c>
      <c r="E11" t="s">
        <v>406</v>
      </c>
      <c r="F11" s="8" t="s">
        <v>414</v>
      </c>
      <c r="H11" t="s">
        <v>155</v>
      </c>
      <c r="I11" t="s">
        <v>155</v>
      </c>
      <c r="J11" t="s">
        <v>284</v>
      </c>
      <c r="K11" t="s">
        <v>155</v>
      </c>
      <c r="L11" t="s">
        <v>155</v>
      </c>
      <c r="M11" t="s">
        <v>284</v>
      </c>
      <c r="N11" t="s">
        <v>284</v>
      </c>
      <c r="O11" t="s">
        <v>634</v>
      </c>
      <c r="P11" t="s">
        <v>8</v>
      </c>
    </row>
    <row r="12" spans="1:16" x14ac:dyDescent="0.25">
      <c r="A12" t="s">
        <v>475</v>
      </c>
      <c r="B12" t="str">
        <f t="shared" si="0"/>
        <v>PTC2002 - Utilização prevista</v>
      </c>
      <c r="D12" t="s">
        <v>404</v>
      </c>
      <c r="E12" t="s">
        <v>406</v>
      </c>
      <c r="F12" s="8" t="s">
        <v>415</v>
      </c>
      <c r="H12" t="s">
        <v>156</v>
      </c>
      <c r="I12" t="s">
        <v>156</v>
      </c>
      <c r="J12" t="s">
        <v>156</v>
      </c>
      <c r="K12" t="s">
        <v>156</v>
      </c>
      <c r="L12" t="s">
        <v>156</v>
      </c>
      <c r="M12" t="s">
        <v>156</v>
      </c>
      <c r="N12" t="s">
        <v>156</v>
      </c>
      <c r="O12" t="s">
        <v>635</v>
      </c>
      <c r="P12" t="s">
        <v>9</v>
      </c>
    </row>
    <row r="13" spans="1:16" x14ac:dyDescent="0.25">
      <c r="A13" t="s">
        <v>476</v>
      </c>
      <c r="B13" t="str">
        <f t="shared" si="0"/>
        <v>PTC2003 - Possibilidades de uso incorreto</v>
      </c>
      <c r="D13" t="s">
        <v>404</v>
      </c>
      <c r="E13" t="s">
        <v>406</v>
      </c>
      <c r="F13" s="8" t="s">
        <v>416</v>
      </c>
      <c r="H13" t="s">
        <v>157</v>
      </c>
      <c r="I13" t="s">
        <v>346</v>
      </c>
      <c r="J13" t="s">
        <v>285</v>
      </c>
      <c r="K13" t="s">
        <v>346</v>
      </c>
      <c r="L13" t="s">
        <v>346</v>
      </c>
      <c r="M13" t="s">
        <v>285</v>
      </c>
      <c r="N13" t="s">
        <v>285</v>
      </c>
      <c r="O13" t="s">
        <v>636</v>
      </c>
      <c r="P13" t="s">
        <v>10</v>
      </c>
    </row>
    <row r="14" spans="1:16" x14ac:dyDescent="0.25">
      <c r="A14" t="s">
        <v>477</v>
      </c>
      <c r="B14" t="str">
        <f t="shared" si="0"/>
        <v>PTC2004 - Deveres do operador</v>
      </c>
      <c r="D14" t="s">
        <v>404</v>
      </c>
      <c r="E14" t="s">
        <v>406</v>
      </c>
      <c r="F14" s="8" t="s">
        <v>417</v>
      </c>
      <c r="H14" t="s">
        <v>158</v>
      </c>
      <c r="I14" t="s">
        <v>158</v>
      </c>
      <c r="J14" t="s">
        <v>158</v>
      </c>
      <c r="K14" t="s">
        <v>158</v>
      </c>
      <c r="L14" t="s">
        <v>158</v>
      </c>
      <c r="M14" t="s">
        <v>158</v>
      </c>
      <c r="N14" t="s">
        <v>158</v>
      </c>
      <c r="O14" t="s">
        <v>637</v>
      </c>
      <c r="P14" t="s">
        <v>11</v>
      </c>
    </row>
    <row r="15" spans="1:16" x14ac:dyDescent="0.25">
      <c r="A15" t="s">
        <v>478</v>
      </c>
      <c r="B15" t="str">
        <f t="shared" si="0"/>
        <v>PTC2005 - Requisitos relativos ao pessoal</v>
      </c>
      <c r="D15" t="s">
        <v>404</v>
      </c>
      <c r="E15" t="s">
        <v>406</v>
      </c>
      <c r="F15" s="8" t="s">
        <v>418</v>
      </c>
      <c r="H15" t="s">
        <v>159</v>
      </c>
      <c r="I15" t="s">
        <v>159</v>
      </c>
      <c r="J15" t="s">
        <v>286</v>
      </c>
      <c r="K15" t="s">
        <v>159</v>
      </c>
      <c r="L15" t="s">
        <v>159</v>
      </c>
      <c r="M15" t="s">
        <v>286</v>
      </c>
      <c r="N15" t="s">
        <v>286</v>
      </c>
      <c r="O15" t="s">
        <v>638</v>
      </c>
      <c r="P15" t="s">
        <v>12</v>
      </c>
    </row>
    <row r="16" spans="1:16" x14ac:dyDescent="0.25">
      <c r="A16" t="s">
        <v>479</v>
      </c>
      <c r="B16" t="str">
        <f t="shared" si="0"/>
        <v>PTC2006 - Equipamento de proteção</v>
      </c>
      <c r="D16" t="s">
        <v>404</v>
      </c>
      <c r="E16" t="s">
        <v>406</v>
      </c>
      <c r="F16" s="8" t="s">
        <v>419</v>
      </c>
      <c r="H16" t="s">
        <v>160</v>
      </c>
      <c r="I16" t="s">
        <v>160</v>
      </c>
      <c r="J16" t="s">
        <v>160</v>
      </c>
      <c r="K16" t="s">
        <v>160</v>
      </c>
      <c r="L16" t="s">
        <v>160</v>
      </c>
      <c r="M16" t="s">
        <v>160</v>
      </c>
      <c r="N16" t="s">
        <v>160</v>
      </c>
      <c r="O16" t="s">
        <v>160</v>
      </c>
      <c r="P16" t="s">
        <v>13</v>
      </c>
    </row>
    <row r="17" spans="1:16" x14ac:dyDescent="0.25">
      <c r="A17" t="s">
        <v>480</v>
      </c>
      <c r="B17" t="str">
        <f t="shared" si="0"/>
        <v>PTC2007 - Áreas de risco e sua identificação</v>
      </c>
      <c r="D17" t="s">
        <v>404</v>
      </c>
      <c r="E17" t="s">
        <v>406</v>
      </c>
      <c r="F17" s="8" t="s">
        <v>420</v>
      </c>
      <c r="H17" t="s">
        <v>161</v>
      </c>
      <c r="I17" t="s">
        <v>161</v>
      </c>
      <c r="J17" t="s">
        <v>287</v>
      </c>
      <c r="K17" t="s">
        <v>161</v>
      </c>
      <c r="L17" t="s">
        <v>161</v>
      </c>
      <c r="M17" t="s">
        <v>287</v>
      </c>
      <c r="N17" t="s">
        <v>287</v>
      </c>
      <c r="O17" t="s">
        <v>639</v>
      </c>
      <c r="P17" t="s">
        <v>14</v>
      </c>
    </row>
    <row r="18" spans="1:16" x14ac:dyDescent="0.25">
      <c r="A18" s="9" t="s">
        <v>779</v>
      </c>
      <c r="B18" s="9" t="str">
        <f t="shared" si="0"/>
        <v>PTC2008 - sinais de proibição</v>
      </c>
      <c r="D18" t="s">
        <v>404</v>
      </c>
      <c r="E18" t="s">
        <v>406</v>
      </c>
      <c r="F18" s="8" t="s">
        <v>421</v>
      </c>
      <c r="O18" t="s">
        <v>640</v>
      </c>
      <c r="P18" t="s">
        <v>136</v>
      </c>
    </row>
    <row r="19" spans="1:16" x14ac:dyDescent="0.25">
      <c r="A19" t="s">
        <v>481</v>
      </c>
      <c r="B19" t="str">
        <f t="shared" si="0"/>
        <v>PTC2009 - Sinais de aviso</v>
      </c>
      <c r="D19" t="s">
        <v>404</v>
      </c>
      <c r="E19" t="s">
        <v>406</v>
      </c>
      <c r="F19" s="8" t="s">
        <v>422</v>
      </c>
      <c r="H19" t="s">
        <v>162</v>
      </c>
      <c r="I19" t="s">
        <v>162</v>
      </c>
      <c r="J19" t="s">
        <v>162</v>
      </c>
      <c r="K19" t="s">
        <v>162</v>
      </c>
      <c r="L19" t="s">
        <v>162</v>
      </c>
      <c r="M19" t="s">
        <v>162</v>
      </c>
      <c r="N19" t="s">
        <v>162</v>
      </c>
      <c r="O19" t="s">
        <v>162</v>
      </c>
      <c r="P19" t="s">
        <v>15</v>
      </c>
    </row>
    <row r="20" spans="1:16" x14ac:dyDescent="0.25">
      <c r="A20" t="s">
        <v>482</v>
      </c>
      <c r="B20" t="str">
        <f t="shared" si="0"/>
        <v>PTC2010 - Sinais de obrigação</v>
      </c>
      <c r="D20" t="s">
        <v>404</v>
      </c>
      <c r="E20" t="s">
        <v>406</v>
      </c>
      <c r="F20" s="8" t="s">
        <v>423</v>
      </c>
      <c r="H20" t="s">
        <v>163</v>
      </c>
      <c r="I20" t="s">
        <v>163</v>
      </c>
      <c r="K20" t="s">
        <v>163</v>
      </c>
      <c r="L20" t="s">
        <v>163</v>
      </c>
      <c r="M20" t="s">
        <v>163</v>
      </c>
      <c r="N20" t="s">
        <v>163</v>
      </c>
      <c r="O20" t="s">
        <v>641</v>
      </c>
      <c r="P20" t="s">
        <v>126</v>
      </c>
    </row>
    <row r="21" spans="1:16" x14ac:dyDescent="0.25">
      <c r="A21" t="s">
        <v>483</v>
      </c>
      <c r="B21" t="str">
        <f t="shared" si="0"/>
        <v>PTC2011 - Localização dos sinais</v>
      </c>
      <c r="D21" t="s">
        <v>404</v>
      </c>
      <c r="E21" t="s">
        <v>406</v>
      </c>
      <c r="F21" s="8" t="s">
        <v>424</v>
      </c>
      <c r="H21" t="s">
        <v>164</v>
      </c>
      <c r="I21" t="s">
        <v>164</v>
      </c>
      <c r="J21" t="s">
        <v>288</v>
      </c>
      <c r="K21" t="s">
        <v>164</v>
      </c>
      <c r="L21" t="s">
        <v>164</v>
      </c>
      <c r="M21" t="s">
        <v>288</v>
      </c>
      <c r="N21" t="s">
        <v>288</v>
      </c>
      <c r="O21" t="s">
        <v>642</v>
      </c>
      <c r="P21" t="s">
        <v>16</v>
      </c>
    </row>
    <row r="22" spans="1:16" x14ac:dyDescent="0.25">
      <c r="A22" t="s">
        <v>484</v>
      </c>
      <c r="B22" t="str">
        <f t="shared" si="0"/>
        <v>PTC2012 - Dispositivos de proteção</v>
      </c>
      <c r="D22" t="s">
        <v>404</v>
      </c>
      <c r="E22" t="s">
        <v>406</v>
      </c>
      <c r="F22" s="8" t="s">
        <v>425</v>
      </c>
      <c r="H22" t="s">
        <v>165</v>
      </c>
      <c r="I22" t="s">
        <v>165</v>
      </c>
      <c r="J22" t="s">
        <v>165</v>
      </c>
      <c r="K22" t="s">
        <v>165</v>
      </c>
      <c r="L22" t="s">
        <v>165</v>
      </c>
      <c r="M22" t="s">
        <v>165</v>
      </c>
      <c r="N22" t="s">
        <v>165</v>
      </c>
      <c r="O22" t="s">
        <v>643</v>
      </c>
      <c r="P22" t="s">
        <v>17</v>
      </c>
    </row>
    <row r="23" spans="1:16" x14ac:dyDescent="0.25">
      <c r="A23" t="s">
        <v>485</v>
      </c>
      <c r="B23" t="str">
        <f t="shared" si="0"/>
        <v>PTC2013 - Parada de emergência</v>
      </c>
      <c r="D23" t="s">
        <v>404</v>
      </c>
      <c r="E23" t="s">
        <v>406</v>
      </c>
      <c r="F23" s="8" t="s">
        <v>426</v>
      </c>
      <c r="H23" t="s">
        <v>166</v>
      </c>
      <c r="I23" t="s">
        <v>166</v>
      </c>
      <c r="J23" t="s">
        <v>289</v>
      </c>
      <c r="K23" t="s">
        <v>166</v>
      </c>
      <c r="L23" t="s">
        <v>166</v>
      </c>
      <c r="M23" t="s">
        <v>289</v>
      </c>
      <c r="N23" t="s">
        <v>289</v>
      </c>
      <c r="O23" t="s">
        <v>166</v>
      </c>
      <c r="P23" t="s">
        <v>18</v>
      </c>
    </row>
    <row r="24" spans="1:16" x14ac:dyDescent="0.25">
      <c r="A24" t="s">
        <v>486</v>
      </c>
      <c r="B24" t="str">
        <f t="shared" si="0"/>
        <v>PTC2014 - Válvula de segurança contra sobrepressão não permitida</v>
      </c>
      <c r="D24" t="s">
        <v>404</v>
      </c>
      <c r="E24" t="s">
        <v>406</v>
      </c>
      <c r="F24" s="8" t="s">
        <v>427</v>
      </c>
      <c r="H24" t="s">
        <v>167</v>
      </c>
      <c r="I24" t="s">
        <v>167</v>
      </c>
      <c r="J24" t="s">
        <v>290</v>
      </c>
      <c r="K24" t="s">
        <v>167</v>
      </c>
      <c r="L24" t="s">
        <v>167</v>
      </c>
      <c r="M24" t="s">
        <v>290</v>
      </c>
      <c r="N24" t="s">
        <v>290</v>
      </c>
      <c r="O24" t="s">
        <v>644</v>
      </c>
      <c r="P24" t="s">
        <v>19</v>
      </c>
    </row>
    <row r="25" spans="1:16" x14ac:dyDescent="0.25">
      <c r="A25" t="s">
        <v>487</v>
      </c>
      <c r="B25" t="str">
        <f t="shared" si="0"/>
        <v>PTC2015 - Grelha de proteção</v>
      </c>
      <c r="D25" t="s">
        <v>404</v>
      </c>
      <c r="E25" t="s">
        <v>406</v>
      </c>
      <c r="F25" s="8" t="s">
        <v>428</v>
      </c>
      <c r="J25" t="s">
        <v>291</v>
      </c>
      <c r="L25" t="s">
        <v>353</v>
      </c>
      <c r="M25" t="s">
        <v>291</v>
      </c>
      <c r="N25" t="s">
        <v>291</v>
      </c>
      <c r="O25" t="s">
        <v>645</v>
      </c>
      <c r="P25" t="s">
        <v>127</v>
      </c>
    </row>
    <row r="26" spans="1:16" x14ac:dyDescent="0.25">
      <c r="A26" t="s">
        <v>488</v>
      </c>
      <c r="B26" t="str">
        <f t="shared" si="0"/>
        <v>PTC2016 - Isolamento</v>
      </c>
      <c r="D26" t="s">
        <v>404</v>
      </c>
      <c r="E26" t="s">
        <v>406</v>
      </c>
      <c r="F26" s="8" t="s">
        <v>429</v>
      </c>
      <c r="L26" t="s">
        <v>354</v>
      </c>
      <c r="M26" t="s">
        <v>354</v>
      </c>
      <c r="N26" t="s">
        <v>354</v>
      </c>
      <c r="O26" t="s">
        <v>354</v>
      </c>
      <c r="P26" t="s">
        <v>128</v>
      </c>
    </row>
    <row r="27" spans="1:16" x14ac:dyDescent="0.25">
      <c r="A27" t="s">
        <v>489</v>
      </c>
      <c r="B27" t="str">
        <f t="shared" si="0"/>
        <v>PTC2017 - Localização dos dispositivos de proteção</v>
      </c>
      <c r="D27" t="s">
        <v>404</v>
      </c>
      <c r="E27" t="s">
        <v>406</v>
      </c>
      <c r="F27" s="8" t="s">
        <v>430</v>
      </c>
      <c r="H27" t="s">
        <v>168</v>
      </c>
      <c r="I27" t="s">
        <v>168</v>
      </c>
      <c r="J27" t="s">
        <v>292</v>
      </c>
      <c r="K27" t="s">
        <v>168</v>
      </c>
      <c r="L27" t="s">
        <v>168</v>
      </c>
      <c r="M27" t="s">
        <v>292</v>
      </c>
      <c r="N27" t="s">
        <v>292</v>
      </c>
      <c r="O27" t="s">
        <v>646</v>
      </c>
      <c r="P27" t="s">
        <v>20</v>
      </c>
    </row>
    <row r="28" spans="1:16" x14ac:dyDescent="0.25">
      <c r="A28" t="s">
        <v>490</v>
      </c>
      <c r="B28" t="str">
        <f t="shared" si="0"/>
        <v>PTC2018 - Dispositivos para desligamento e proteção</v>
      </c>
      <c r="D28" t="s">
        <v>404</v>
      </c>
      <c r="E28" t="s">
        <v>406</v>
      </c>
      <c r="F28" s="8" t="s">
        <v>431</v>
      </c>
      <c r="H28" t="s">
        <v>169</v>
      </c>
      <c r="I28" t="s">
        <v>347</v>
      </c>
      <c r="J28" t="s">
        <v>293</v>
      </c>
      <c r="K28" t="s">
        <v>347</v>
      </c>
      <c r="L28" t="s">
        <v>347</v>
      </c>
      <c r="M28" t="s">
        <v>293</v>
      </c>
      <c r="N28" t="s">
        <v>293</v>
      </c>
      <c r="O28" t="s">
        <v>647</v>
      </c>
      <c r="P28" t="s">
        <v>21</v>
      </c>
    </row>
    <row r="29" spans="1:16" x14ac:dyDescent="0.25">
      <c r="A29" t="s">
        <v>491</v>
      </c>
      <c r="B29" t="str">
        <f t="shared" si="0"/>
        <v>PTC2019 - Conduta em situações de perigo e acidentes</v>
      </c>
      <c r="D29" t="s">
        <v>404</v>
      </c>
      <c r="E29" t="s">
        <v>406</v>
      </c>
      <c r="F29" s="8" t="s">
        <v>432</v>
      </c>
      <c r="H29" t="s">
        <v>170</v>
      </c>
      <c r="I29" t="s">
        <v>170</v>
      </c>
      <c r="J29" t="s">
        <v>294</v>
      </c>
      <c r="K29" t="s">
        <v>170</v>
      </c>
      <c r="L29" t="s">
        <v>355</v>
      </c>
      <c r="M29" t="s">
        <v>294</v>
      </c>
      <c r="N29" t="s">
        <v>294</v>
      </c>
      <c r="O29" t="s">
        <v>648</v>
      </c>
      <c r="P29" t="s">
        <v>22</v>
      </c>
    </row>
    <row r="30" spans="1:16" x14ac:dyDescent="0.25">
      <c r="A30" t="s">
        <v>492</v>
      </c>
      <c r="B30" t="str">
        <f t="shared" si="0"/>
        <v>PTC2020 - Estados operacionais</v>
      </c>
      <c r="D30" t="s">
        <v>404</v>
      </c>
      <c r="E30" t="s">
        <v>406</v>
      </c>
      <c r="F30" s="8" t="s">
        <v>433</v>
      </c>
      <c r="H30" t="s">
        <v>171</v>
      </c>
      <c r="I30" t="s">
        <v>171</v>
      </c>
      <c r="J30" t="s">
        <v>171</v>
      </c>
      <c r="K30" t="s">
        <v>171</v>
      </c>
      <c r="L30" t="s">
        <v>171</v>
      </c>
      <c r="M30" t="s">
        <v>381</v>
      </c>
      <c r="N30" t="s">
        <v>381</v>
      </c>
      <c r="O30" t="s">
        <v>649</v>
      </c>
      <c r="P30" t="s">
        <v>23</v>
      </c>
    </row>
    <row r="31" spans="1:16" x14ac:dyDescent="0.25">
      <c r="A31" t="s">
        <v>493</v>
      </c>
      <c r="B31" t="str">
        <f t="shared" si="0"/>
        <v>PTC2021 - Máquina desbloqueada</v>
      </c>
      <c r="D31" t="s">
        <v>404</v>
      </c>
      <c r="E31" t="s">
        <v>406</v>
      </c>
      <c r="F31" s="8" t="s">
        <v>434</v>
      </c>
      <c r="H31" t="s">
        <v>172</v>
      </c>
      <c r="I31" t="s">
        <v>172</v>
      </c>
      <c r="J31" t="s">
        <v>295</v>
      </c>
      <c r="K31" t="s">
        <v>172</v>
      </c>
      <c r="L31" t="s">
        <v>356</v>
      </c>
      <c r="M31" t="s">
        <v>172</v>
      </c>
      <c r="N31" t="s">
        <v>172</v>
      </c>
      <c r="O31" t="s">
        <v>650</v>
      </c>
      <c r="P31" t="s">
        <v>24</v>
      </c>
    </row>
    <row r="32" spans="1:16" x14ac:dyDescent="0.25">
      <c r="A32" t="s">
        <v>494</v>
      </c>
      <c r="B32" t="str">
        <f t="shared" si="0"/>
        <v>PTC2022 - Estado operacional desligado</v>
      </c>
      <c r="D32" t="s">
        <v>404</v>
      </c>
      <c r="E32" t="s">
        <v>406</v>
      </c>
      <c r="F32" s="8" t="s">
        <v>435</v>
      </c>
      <c r="H32" t="s">
        <v>173</v>
      </c>
      <c r="I32" t="s">
        <v>173</v>
      </c>
      <c r="J32" t="s">
        <v>296</v>
      </c>
      <c r="K32" t="s">
        <v>173</v>
      </c>
      <c r="L32" t="s">
        <v>357</v>
      </c>
      <c r="M32" t="s">
        <v>296</v>
      </c>
      <c r="N32" t="s">
        <v>296</v>
      </c>
      <c r="O32" t="s">
        <v>651</v>
      </c>
      <c r="P32" t="s">
        <v>25</v>
      </c>
    </row>
    <row r="33" spans="1:16" x14ac:dyDescent="0.25">
      <c r="A33" t="s">
        <v>495</v>
      </c>
      <c r="B33" t="str">
        <f t="shared" si="0"/>
        <v>PTC2023 - Estado operacional ligado</v>
      </c>
      <c r="D33" t="s">
        <v>404</v>
      </c>
      <c r="E33" t="s">
        <v>406</v>
      </c>
      <c r="F33" s="8" t="s">
        <v>436</v>
      </c>
      <c r="H33" t="s">
        <v>174</v>
      </c>
      <c r="I33" t="s">
        <v>174</v>
      </c>
      <c r="J33" t="s">
        <v>174</v>
      </c>
      <c r="K33" t="s">
        <v>174</v>
      </c>
      <c r="L33" t="s">
        <v>358</v>
      </c>
      <c r="M33" t="s">
        <v>174</v>
      </c>
      <c r="N33" t="s">
        <v>174</v>
      </c>
      <c r="O33" t="s">
        <v>652</v>
      </c>
      <c r="P33" t="s">
        <v>26</v>
      </c>
    </row>
    <row r="34" spans="1:16" x14ac:dyDescent="0.25">
      <c r="A34" t="s">
        <v>496</v>
      </c>
      <c r="B34" t="str">
        <f t="shared" si="0"/>
        <v>PTC2024 - Recipiente pressurizado</v>
      </c>
      <c r="D34" t="s">
        <v>404</v>
      </c>
      <c r="E34" t="s">
        <v>406</v>
      </c>
      <c r="F34" s="8" t="s">
        <v>437</v>
      </c>
      <c r="J34" t="s">
        <v>297</v>
      </c>
      <c r="L34" t="s">
        <v>359</v>
      </c>
      <c r="O34" t="s">
        <v>653</v>
      </c>
      <c r="P34" t="s">
        <v>27</v>
      </c>
    </row>
    <row r="35" spans="1:16" x14ac:dyDescent="0.25">
      <c r="A35" t="s">
        <v>497</v>
      </c>
      <c r="B35" t="str">
        <f t="shared" si="0"/>
        <v>PTC2025 - Riscos residuais</v>
      </c>
      <c r="D35" t="s">
        <v>404</v>
      </c>
      <c r="E35" t="s">
        <v>406</v>
      </c>
      <c r="F35" s="8" t="s">
        <v>438</v>
      </c>
      <c r="H35" t="s">
        <v>175</v>
      </c>
      <c r="I35" t="s">
        <v>175</v>
      </c>
      <c r="J35" t="s">
        <v>298</v>
      </c>
      <c r="K35" t="s">
        <v>175</v>
      </c>
      <c r="L35" t="s">
        <v>175</v>
      </c>
      <c r="M35" t="s">
        <v>298</v>
      </c>
      <c r="N35" t="s">
        <v>298</v>
      </c>
      <c r="O35" t="s">
        <v>654</v>
      </c>
      <c r="P35" t="s">
        <v>28</v>
      </c>
    </row>
    <row r="36" spans="1:16" x14ac:dyDescent="0.25">
      <c r="A36" t="s">
        <v>498</v>
      </c>
      <c r="B36" t="str">
        <f t="shared" si="0"/>
        <v>PTC3 - Estrutura e funcionamento</v>
      </c>
      <c r="D36" t="s">
        <v>404</v>
      </c>
      <c r="E36" t="s">
        <v>407</v>
      </c>
      <c r="H36" s="2" t="s">
        <v>176</v>
      </c>
      <c r="I36" s="2" t="s">
        <v>176</v>
      </c>
      <c r="J36" s="2" t="s">
        <v>176</v>
      </c>
      <c r="K36" s="2" t="s">
        <v>176</v>
      </c>
      <c r="L36" s="2" t="s">
        <v>176</v>
      </c>
      <c r="M36" s="2" t="s">
        <v>176</v>
      </c>
      <c r="N36" s="2" t="s">
        <v>176</v>
      </c>
      <c r="O36" t="s">
        <v>176</v>
      </c>
      <c r="P36" t="s">
        <v>29</v>
      </c>
    </row>
    <row r="37" spans="1:16" x14ac:dyDescent="0.25">
      <c r="A37" t="s">
        <v>499</v>
      </c>
      <c r="B37" t="str">
        <f t="shared" si="0"/>
        <v>PTC3001 - Sistema de limpeza</v>
      </c>
      <c r="D37" t="s">
        <v>404</v>
      </c>
      <c r="E37" t="s">
        <v>407</v>
      </c>
      <c r="F37" s="8" t="s">
        <v>414</v>
      </c>
      <c r="H37" t="s">
        <v>177</v>
      </c>
      <c r="I37" t="s">
        <v>177</v>
      </c>
      <c r="J37" t="s">
        <v>177</v>
      </c>
      <c r="K37" t="s">
        <v>177</v>
      </c>
      <c r="L37" t="s">
        <v>177</v>
      </c>
      <c r="M37" t="s">
        <v>177</v>
      </c>
      <c r="N37" t="s">
        <v>177</v>
      </c>
      <c r="O37" t="s">
        <v>655</v>
      </c>
      <c r="P37" t="s">
        <v>30</v>
      </c>
    </row>
    <row r="38" spans="1:16" x14ac:dyDescent="0.25">
      <c r="A38" t="s">
        <v>500</v>
      </c>
      <c r="B38" t="str">
        <f t="shared" si="0"/>
        <v>PTC3002 - Tanques (área CR72, CR73, CR74, CR75)</v>
      </c>
      <c r="D38" t="s">
        <v>404</v>
      </c>
      <c r="E38" t="s">
        <v>407</v>
      </c>
      <c r="F38" s="8" t="s">
        <v>415</v>
      </c>
      <c r="H38" t="s">
        <v>178</v>
      </c>
      <c r="I38" t="s">
        <v>178</v>
      </c>
      <c r="J38" t="s">
        <v>270</v>
      </c>
      <c r="K38" t="s">
        <v>178</v>
      </c>
      <c r="L38" t="s">
        <v>178</v>
      </c>
      <c r="M38" t="s">
        <v>382</v>
      </c>
      <c r="N38" t="s">
        <v>382</v>
      </c>
      <c r="O38" t="s">
        <v>656</v>
      </c>
      <c r="P38" t="s">
        <v>31</v>
      </c>
    </row>
    <row r="39" spans="1:16" x14ac:dyDescent="0.25">
      <c r="A39" t="s">
        <v>501</v>
      </c>
      <c r="B39" t="str">
        <f t="shared" si="0"/>
        <v>PTC3003 - Estação de dosagem de concentrado de produto de limpeza</v>
      </c>
      <c r="D39" t="s">
        <v>404</v>
      </c>
      <c r="E39" t="s">
        <v>407</v>
      </c>
      <c r="F39" s="8" t="s">
        <v>416</v>
      </c>
      <c r="H39" t="s">
        <v>179</v>
      </c>
      <c r="I39" t="s">
        <v>179</v>
      </c>
      <c r="J39" t="s">
        <v>179</v>
      </c>
      <c r="K39" t="s">
        <v>179</v>
      </c>
      <c r="L39" t="s">
        <v>179</v>
      </c>
      <c r="M39" t="s">
        <v>179</v>
      </c>
      <c r="N39" t="s">
        <v>179</v>
      </c>
      <c r="O39" t="s">
        <v>657</v>
      </c>
      <c r="P39" t="s">
        <v>32</v>
      </c>
    </row>
    <row r="40" spans="1:16" x14ac:dyDescent="0.25">
      <c r="A40" t="s">
        <v>502</v>
      </c>
      <c r="B40" t="str">
        <f t="shared" si="0"/>
        <v>PTC3004 - Alimentação área CR69 e CR70</v>
      </c>
      <c r="D40" t="s">
        <v>404</v>
      </c>
      <c r="E40" t="s">
        <v>407</v>
      </c>
      <c r="F40" s="8" t="s">
        <v>417</v>
      </c>
      <c r="M40" t="s">
        <v>383</v>
      </c>
      <c r="N40" t="s">
        <v>383</v>
      </c>
      <c r="O40" t="s">
        <v>658</v>
      </c>
      <c r="P40" t="s">
        <v>129</v>
      </c>
    </row>
    <row r="41" spans="1:16" x14ac:dyDescent="0.25">
      <c r="A41" s="9" t="s">
        <v>764</v>
      </c>
      <c r="B41" s="9" t="str">
        <f t="shared" si="0"/>
        <v>PTC3005 - Detergente e circuito de vapor (CR70 área)</v>
      </c>
      <c r="D41" t="s">
        <v>404</v>
      </c>
      <c r="E41" t="s">
        <v>407</v>
      </c>
      <c r="F41" s="8" t="s">
        <v>418</v>
      </c>
      <c r="O41" t="s">
        <v>659</v>
      </c>
      <c r="P41" t="s">
        <v>33</v>
      </c>
    </row>
    <row r="42" spans="1:16" x14ac:dyDescent="0.25">
      <c r="A42" s="9" t="s">
        <v>765</v>
      </c>
      <c r="B42" s="9" t="str">
        <f t="shared" si="0"/>
        <v>PTC3006 - Detergente e circuito de vapor (área CR69)</v>
      </c>
      <c r="D42" t="s">
        <v>404</v>
      </c>
      <c r="E42" t="s">
        <v>407</v>
      </c>
      <c r="F42" s="8" t="s">
        <v>419</v>
      </c>
      <c r="O42" t="s">
        <v>660</v>
      </c>
      <c r="P42" t="s">
        <v>34</v>
      </c>
    </row>
    <row r="43" spans="1:16" x14ac:dyDescent="0.25">
      <c r="A43" s="9" t="s">
        <v>766</v>
      </c>
      <c r="B43" s="9" t="str">
        <f t="shared" si="0"/>
        <v>PTC3007 - Aquecedor de água fresca (área CR84)</v>
      </c>
      <c r="D43" t="s">
        <v>404</v>
      </c>
      <c r="E43" t="s">
        <v>407</v>
      </c>
      <c r="F43" s="8" t="s">
        <v>420</v>
      </c>
      <c r="O43" t="s">
        <v>661</v>
      </c>
      <c r="P43" t="s">
        <v>35</v>
      </c>
    </row>
    <row r="44" spans="1:16" x14ac:dyDescent="0.25">
      <c r="A44" s="9" t="s">
        <v>767</v>
      </c>
      <c r="B44" s="9" t="str">
        <f t="shared" si="0"/>
        <v>PTC3008 - Aquecedor de água fresca (área CR83)</v>
      </c>
      <c r="D44" t="s">
        <v>404</v>
      </c>
      <c r="E44" t="s">
        <v>407</v>
      </c>
      <c r="F44" s="8" t="s">
        <v>421</v>
      </c>
      <c r="O44" t="s">
        <v>662</v>
      </c>
      <c r="P44" t="s">
        <v>36</v>
      </c>
    </row>
    <row r="45" spans="1:16" x14ac:dyDescent="0.25">
      <c r="A45" t="s">
        <v>503</v>
      </c>
      <c r="B45" t="str">
        <f t="shared" si="0"/>
        <v>PTC3009 - Tanque de produtos de limpeza (Área CR70)</v>
      </c>
      <c r="D45" t="s">
        <v>404</v>
      </c>
      <c r="E45" t="s">
        <v>407</v>
      </c>
      <c r="F45" s="8" t="s">
        <v>422</v>
      </c>
      <c r="H45" t="s">
        <v>180</v>
      </c>
      <c r="I45" t="s">
        <v>180</v>
      </c>
      <c r="J45" t="s">
        <v>299</v>
      </c>
      <c r="K45" t="s">
        <v>180</v>
      </c>
      <c r="L45" t="s">
        <v>360</v>
      </c>
      <c r="O45" t="s">
        <v>663</v>
      </c>
      <c r="P45" t="s">
        <v>137</v>
      </c>
    </row>
    <row r="46" spans="1:16" x14ac:dyDescent="0.25">
      <c r="A46" s="9" t="s">
        <v>780</v>
      </c>
      <c r="B46" s="9" t="str">
        <f t="shared" si="0"/>
        <v>PTC3010 - circuito de água quente (CR70 área)</v>
      </c>
      <c r="D46" t="s">
        <v>404</v>
      </c>
      <c r="E46" t="s">
        <v>407</v>
      </c>
      <c r="F46" s="8" t="s">
        <v>423</v>
      </c>
      <c r="O46" t="s">
        <v>664</v>
      </c>
      <c r="P46" t="s">
        <v>394</v>
      </c>
    </row>
    <row r="47" spans="1:16" x14ac:dyDescent="0.25">
      <c r="A47" t="s">
        <v>504</v>
      </c>
      <c r="B47" t="str">
        <f t="shared" si="0"/>
        <v>PTC3011 - Circuito de vapor (área CR70)</v>
      </c>
      <c r="D47" t="s">
        <v>404</v>
      </c>
      <c r="E47" t="s">
        <v>407</v>
      </c>
      <c r="F47" s="8" t="s">
        <v>424</v>
      </c>
      <c r="H47" t="s">
        <v>181</v>
      </c>
      <c r="I47" t="s">
        <v>181</v>
      </c>
      <c r="J47" t="s">
        <v>181</v>
      </c>
      <c r="K47" t="s">
        <v>181</v>
      </c>
      <c r="L47" t="s">
        <v>181</v>
      </c>
      <c r="O47" t="s">
        <v>665</v>
      </c>
      <c r="P47" t="s">
        <v>138</v>
      </c>
    </row>
    <row r="48" spans="1:16" x14ac:dyDescent="0.25">
      <c r="A48" t="s">
        <v>505</v>
      </c>
      <c r="B48" t="str">
        <f t="shared" si="0"/>
        <v>PTC3012 - Distribuidor (área CR70)</v>
      </c>
      <c r="D48" t="s">
        <v>404</v>
      </c>
      <c r="E48" t="s">
        <v>407</v>
      </c>
      <c r="F48" s="8" t="s">
        <v>425</v>
      </c>
      <c r="J48" t="s">
        <v>271</v>
      </c>
      <c r="O48" t="s">
        <v>666</v>
      </c>
      <c r="P48" t="s">
        <v>139</v>
      </c>
    </row>
    <row r="49" spans="1:16" x14ac:dyDescent="0.25">
      <c r="A49" s="9" t="s">
        <v>768</v>
      </c>
      <c r="B49" s="9" t="str">
        <f t="shared" si="0"/>
        <v>PTC3013 - Distribuidor na alimentação primária para o PET máquina de enchimento (CR70 área)</v>
      </c>
      <c r="D49" t="s">
        <v>404</v>
      </c>
      <c r="E49" t="s">
        <v>407</v>
      </c>
      <c r="F49" s="8" t="s">
        <v>426</v>
      </c>
      <c r="O49" t="s">
        <v>667</v>
      </c>
      <c r="P49" t="s">
        <v>395</v>
      </c>
    </row>
    <row r="50" spans="1:16" x14ac:dyDescent="0.25">
      <c r="A50" t="s">
        <v>506</v>
      </c>
      <c r="B50" t="str">
        <f t="shared" si="0"/>
        <v>PTC3014 - Alimentação de água quente ao enxágue da tampadora</v>
      </c>
      <c r="D50" t="s">
        <v>404</v>
      </c>
      <c r="E50" t="s">
        <v>407</v>
      </c>
      <c r="F50" s="8" t="s">
        <v>427</v>
      </c>
      <c r="L50" t="s">
        <v>361</v>
      </c>
      <c r="O50" t="s">
        <v>274</v>
      </c>
      <c r="P50" t="s">
        <v>274</v>
      </c>
    </row>
    <row r="51" spans="1:16" x14ac:dyDescent="0.25">
      <c r="A51" t="s">
        <v>507</v>
      </c>
      <c r="B51" t="str">
        <f t="shared" si="0"/>
        <v>PTC3015 - Abastecimento de ar de controle</v>
      </c>
      <c r="D51" t="s">
        <v>404</v>
      </c>
      <c r="E51" t="s">
        <v>407</v>
      </c>
      <c r="F51" s="8" t="s">
        <v>428</v>
      </c>
      <c r="H51" t="s">
        <v>182</v>
      </c>
      <c r="I51" t="s">
        <v>182</v>
      </c>
      <c r="J51" t="s">
        <v>300</v>
      </c>
      <c r="K51" t="s">
        <v>182</v>
      </c>
      <c r="L51" t="s">
        <v>362</v>
      </c>
      <c r="M51" t="s">
        <v>300</v>
      </c>
      <c r="N51" t="s">
        <v>300</v>
      </c>
      <c r="O51" t="s">
        <v>668</v>
      </c>
      <c r="P51" t="s">
        <v>37</v>
      </c>
    </row>
    <row r="52" spans="1:16" x14ac:dyDescent="0.25">
      <c r="A52" s="9" t="s">
        <v>781</v>
      </c>
      <c r="B52" s="9" t="str">
        <f t="shared" si="0"/>
        <v>PTC3016 - medição do consumo</v>
      </c>
      <c r="D52" t="s">
        <v>404</v>
      </c>
      <c r="E52" t="s">
        <v>407</v>
      </c>
      <c r="F52" s="8" t="s">
        <v>429</v>
      </c>
      <c r="O52" t="s">
        <v>669</v>
      </c>
      <c r="P52" t="s">
        <v>399</v>
      </c>
    </row>
    <row r="53" spans="1:16" x14ac:dyDescent="0.25">
      <c r="A53" s="9" t="s">
        <v>799</v>
      </c>
      <c r="B53" s="9" t="str">
        <f t="shared" si="0"/>
        <v>PTC3017 - Medidor de vazão para água doce e água de serviço</v>
      </c>
      <c r="D53" t="s">
        <v>404</v>
      </c>
      <c r="E53" t="s">
        <v>407</v>
      </c>
      <c r="F53" s="8" t="s">
        <v>430</v>
      </c>
      <c r="O53" t="s">
        <v>670</v>
      </c>
      <c r="P53" t="s">
        <v>400</v>
      </c>
    </row>
    <row r="54" spans="1:16" x14ac:dyDescent="0.25">
      <c r="A54" s="9" t="s">
        <v>769</v>
      </c>
      <c r="B54" s="9" t="str">
        <f t="shared" si="0"/>
        <v>PTC3018 - Medidor de fluxo de vapor</v>
      </c>
      <c r="D54" t="s">
        <v>404</v>
      </c>
      <c r="E54" t="s">
        <v>407</v>
      </c>
      <c r="F54" s="8" t="s">
        <v>431</v>
      </c>
      <c r="O54" t="s">
        <v>671</v>
      </c>
      <c r="P54" t="s">
        <v>376</v>
      </c>
    </row>
    <row r="55" spans="1:16" x14ac:dyDescent="0.25">
      <c r="A55" t="s">
        <v>508</v>
      </c>
      <c r="B55" t="str">
        <f t="shared" si="0"/>
        <v>PTC3019 - Bomba de retorno (área CR79)</v>
      </c>
      <c r="D55" t="s">
        <v>404</v>
      </c>
      <c r="E55" t="s">
        <v>407</v>
      </c>
      <c r="F55" s="8" t="s">
        <v>432</v>
      </c>
      <c r="J55" t="s">
        <v>301</v>
      </c>
      <c r="O55" t="s">
        <v>301</v>
      </c>
      <c r="P55" t="s">
        <v>301</v>
      </c>
    </row>
    <row r="56" spans="1:16" x14ac:dyDescent="0.25">
      <c r="A56" t="s">
        <v>509</v>
      </c>
      <c r="B56" t="str">
        <f t="shared" si="0"/>
        <v>PTC3020 - Dispositivos de aviso</v>
      </c>
      <c r="D56" t="s">
        <v>404</v>
      </c>
      <c r="E56" t="s">
        <v>407</v>
      </c>
      <c r="F56" s="8" t="s">
        <v>433</v>
      </c>
      <c r="H56" t="s">
        <v>183</v>
      </c>
      <c r="I56" t="s">
        <v>183</v>
      </c>
      <c r="J56" t="s">
        <v>183</v>
      </c>
      <c r="K56" t="s">
        <v>183</v>
      </c>
      <c r="L56" t="s">
        <v>183</v>
      </c>
      <c r="M56" t="s">
        <v>183</v>
      </c>
      <c r="N56" t="s">
        <v>183</v>
      </c>
      <c r="O56" t="s">
        <v>672</v>
      </c>
      <c r="P56" t="s">
        <v>38</v>
      </c>
    </row>
    <row r="57" spans="1:16" x14ac:dyDescent="0.25">
      <c r="A57" t="s">
        <v>510</v>
      </c>
      <c r="B57" t="str">
        <f t="shared" si="0"/>
        <v>PTC3021 - Dispositivos de comando</v>
      </c>
      <c r="D57" t="s">
        <v>404</v>
      </c>
      <c r="E57" t="s">
        <v>407</v>
      </c>
      <c r="F57" s="8" t="s">
        <v>434</v>
      </c>
      <c r="H57" t="s">
        <v>184</v>
      </c>
      <c r="I57" t="s">
        <v>184</v>
      </c>
      <c r="J57" t="s">
        <v>184</v>
      </c>
      <c r="K57" t="s">
        <v>184</v>
      </c>
      <c r="L57" t="s">
        <v>184</v>
      </c>
      <c r="M57" t="s">
        <v>184</v>
      </c>
      <c r="N57" t="s">
        <v>184</v>
      </c>
      <c r="O57" t="s">
        <v>673</v>
      </c>
      <c r="P57" t="s">
        <v>39</v>
      </c>
    </row>
    <row r="58" spans="1:16" x14ac:dyDescent="0.25">
      <c r="A58" t="s">
        <v>511</v>
      </c>
      <c r="B58" t="str">
        <f t="shared" si="0"/>
        <v>PTC3022 - Console de operação</v>
      </c>
      <c r="D58" t="s">
        <v>404</v>
      </c>
      <c r="E58" t="s">
        <v>407</v>
      </c>
      <c r="F58" s="8" t="s">
        <v>435</v>
      </c>
      <c r="H58" t="s">
        <v>185</v>
      </c>
      <c r="I58" t="s">
        <v>348</v>
      </c>
      <c r="K58" t="s">
        <v>348</v>
      </c>
      <c r="L58" t="s">
        <v>363</v>
      </c>
      <c r="M58" t="s">
        <v>309</v>
      </c>
      <c r="N58" t="s">
        <v>309</v>
      </c>
      <c r="O58" t="s">
        <v>674</v>
      </c>
      <c r="P58" t="s">
        <v>61</v>
      </c>
    </row>
    <row r="59" spans="1:16" x14ac:dyDescent="0.25">
      <c r="A59" t="s">
        <v>512</v>
      </c>
      <c r="B59" t="str">
        <f t="shared" si="0"/>
        <v>PTC3023 - Interface gráfica do usuário</v>
      </c>
      <c r="D59" t="s">
        <v>404</v>
      </c>
      <c r="E59" t="s">
        <v>407</v>
      </c>
      <c r="F59" s="8" t="s">
        <v>436</v>
      </c>
      <c r="H59" t="s">
        <v>186</v>
      </c>
      <c r="I59" t="s">
        <v>186</v>
      </c>
      <c r="K59" t="s">
        <v>186</v>
      </c>
      <c r="L59" t="s">
        <v>186</v>
      </c>
      <c r="M59" t="s">
        <v>384</v>
      </c>
      <c r="N59" t="s">
        <v>384</v>
      </c>
      <c r="O59" t="s">
        <v>186</v>
      </c>
      <c r="P59" t="s">
        <v>130</v>
      </c>
    </row>
    <row r="60" spans="1:16" x14ac:dyDescent="0.25">
      <c r="A60" t="s">
        <v>513</v>
      </c>
      <c r="B60" t="str">
        <f t="shared" si="0"/>
        <v>PTC3024 - Tela principal</v>
      </c>
      <c r="D60" t="s">
        <v>404</v>
      </c>
      <c r="E60" t="s">
        <v>407</v>
      </c>
      <c r="F60" s="8" t="s">
        <v>437</v>
      </c>
      <c r="H60" t="s">
        <v>187</v>
      </c>
      <c r="I60" t="s">
        <v>187</v>
      </c>
      <c r="K60" t="s">
        <v>187</v>
      </c>
      <c r="L60" t="s">
        <v>187</v>
      </c>
      <c r="M60" t="s">
        <v>385</v>
      </c>
      <c r="N60" t="s">
        <v>385</v>
      </c>
      <c r="O60" t="s">
        <v>385</v>
      </c>
      <c r="P60" t="s">
        <v>131</v>
      </c>
    </row>
    <row r="61" spans="1:16" x14ac:dyDescent="0.25">
      <c r="A61" t="s">
        <v>514</v>
      </c>
      <c r="B61" t="str">
        <f t="shared" si="0"/>
        <v>PTC3025 - Favoritos</v>
      </c>
      <c r="D61" t="s">
        <v>404</v>
      </c>
      <c r="E61" t="s">
        <v>407</v>
      </c>
      <c r="F61" s="8" t="s">
        <v>438</v>
      </c>
      <c r="H61" t="s">
        <v>188</v>
      </c>
      <c r="I61" t="s">
        <v>188</v>
      </c>
      <c r="K61" t="s">
        <v>188</v>
      </c>
      <c r="L61" t="s">
        <v>188</v>
      </c>
      <c r="M61" t="s">
        <v>188</v>
      </c>
      <c r="N61" t="s">
        <v>188</v>
      </c>
      <c r="O61" t="s">
        <v>675</v>
      </c>
      <c r="P61" t="s">
        <v>132</v>
      </c>
    </row>
    <row r="62" spans="1:16" x14ac:dyDescent="0.25">
      <c r="A62" t="s">
        <v>515</v>
      </c>
      <c r="B62" t="str">
        <f t="shared" si="0"/>
        <v>PTC3026 - Logon e logoff</v>
      </c>
      <c r="D62" t="s">
        <v>404</v>
      </c>
      <c r="E62" t="s">
        <v>407</v>
      </c>
      <c r="F62" s="8" t="s">
        <v>439</v>
      </c>
      <c r="H62" t="s">
        <v>189</v>
      </c>
      <c r="I62" t="s">
        <v>189</v>
      </c>
      <c r="K62" t="s">
        <v>189</v>
      </c>
      <c r="L62" t="s">
        <v>364</v>
      </c>
      <c r="M62" t="s">
        <v>386</v>
      </c>
      <c r="N62" t="s">
        <v>386</v>
      </c>
      <c r="O62" t="s">
        <v>676</v>
      </c>
      <c r="P62" t="s">
        <v>133</v>
      </c>
    </row>
    <row r="63" spans="1:16" x14ac:dyDescent="0.25">
      <c r="A63" t="s">
        <v>516</v>
      </c>
      <c r="B63" t="str">
        <f t="shared" si="0"/>
        <v>PTC3027 - Menu principal</v>
      </c>
      <c r="D63" t="s">
        <v>404</v>
      </c>
      <c r="E63" t="s">
        <v>407</v>
      </c>
      <c r="F63" s="8" t="s">
        <v>440</v>
      </c>
      <c r="H63" t="s">
        <v>190</v>
      </c>
      <c r="I63" t="s">
        <v>190</v>
      </c>
      <c r="K63" t="s">
        <v>190</v>
      </c>
      <c r="L63" t="s">
        <v>190</v>
      </c>
      <c r="M63" t="s">
        <v>190</v>
      </c>
      <c r="N63" t="s">
        <v>190</v>
      </c>
      <c r="O63" t="s">
        <v>190</v>
      </c>
      <c r="P63" t="s">
        <v>134</v>
      </c>
    </row>
    <row r="64" spans="1:16" x14ac:dyDescent="0.25">
      <c r="A64" t="s">
        <v>517</v>
      </c>
      <c r="B64" t="str">
        <f t="shared" si="0"/>
        <v>PTC3028 - Sistema de limpeza</v>
      </c>
      <c r="D64" t="s">
        <v>404</v>
      </c>
      <c r="E64" t="s">
        <v>407</v>
      </c>
      <c r="F64" s="8" t="s">
        <v>441</v>
      </c>
      <c r="H64" t="s">
        <v>177</v>
      </c>
      <c r="I64" t="s">
        <v>177</v>
      </c>
      <c r="K64" t="s">
        <v>177</v>
      </c>
      <c r="L64" t="s">
        <v>177</v>
      </c>
      <c r="M64" t="s">
        <v>177</v>
      </c>
      <c r="N64" t="s">
        <v>177</v>
      </c>
      <c r="O64" t="s">
        <v>655</v>
      </c>
      <c r="P64" t="s">
        <v>30</v>
      </c>
    </row>
    <row r="65" spans="1:16" x14ac:dyDescent="0.25">
      <c r="A65" t="s">
        <v>518</v>
      </c>
      <c r="B65" t="str">
        <f t="shared" si="0"/>
        <v>PTC3029 - Posto de trabalho</v>
      </c>
      <c r="D65" t="s">
        <v>404</v>
      </c>
      <c r="E65" t="s">
        <v>407</v>
      </c>
      <c r="F65" s="8" t="s">
        <v>442</v>
      </c>
      <c r="H65" t="s">
        <v>191</v>
      </c>
      <c r="I65" t="s">
        <v>191</v>
      </c>
      <c r="J65" t="s">
        <v>191</v>
      </c>
      <c r="K65" t="s">
        <v>191</v>
      </c>
      <c r="L65" t="s">
        <v>191</v>
      </c>
      <c r="M65" t="s">
        <v>191</v>
      </c>
      <c r="N65" t="s">
        <v>191</v>
      </c>
      <c r="O65" t="s">
        <v>191</v>
      </c>
      <c r="P65" t="s">
        <v>40</v>
      </c>
    </row>
    <row r="66" spans="1:16" x14ac:dyDescent="0.25">
      <c r="A66" s="9" t="s">
        <v>782</v>
      </c>
      <c r="B66" s="9" t="str">
        <f t="shared" si="0"/>
        <v>PTC3030 - O acesso remoto para o Serviço de Diagnóstico Remoto (Redis)</v>
      </c>
      <c r="D66" t="s">
        <v>404</v>
      </c>
      <c r="E66" t="s">
        <v>407</v>
      </c>
      <c r="F66" s="8" t="s">
        <v>443</v>
      </c>
      <c r="O66" t="s">
        <v>677</v>
      </c>
      <c r="P66" t="s">
        <v>140</v>
      </c>
    </row>
    <row r="67" spans="1:16" x14ac:dyDescent="0.25">
      <c r="A67" t="s">
        <v>519</v>
      </c>
      <c r="B67" t="str">
        <f t="shared" ref="B67:B130" si="1">IF(H67="",IF(I67="",IF(J67="",IF(K67="",IF(L67="",IF(M67="",IF(N67="",IF(O67="","",_xlfn.CONCAT(D67,E67,F67," - ",O67)),_xlfn.CONCAT(D67,E67,F67," - ",N67)),_xlfn.CONCAT(D67,E67,F67," - ",M67)),_xlfn.CONCAT(D67,E67,F67," - ",L67)),_xlfn.CONCAT(D67,E67,F67," - ",K67)),_xlfn.CONCAT(D67,E67,F67," - ",J67)),_xlfn.CONCAT(D67,E67,F67," - ",I67)),_xlfn.CONCAT(D67,E67,F67," - ",H67))</f>
        <v>PTC3031 - Tecnologia de medição, controle e regulagem</v>
      </c>
      <c r="D67" t="s">
        <v>404</v>
      </c>
      <c r="E67" t="s">
        <v>407</v>
      </c>
      <c r="F67" s="8" t="s">
        <v>444</v>
      </c>
      <c r="H67" t="s">
        <v>192</v>
      </c>
      <c r="I67" t="s">
        <v>192</v>
      </c>
      <c r="J67" t="s">
        <v>302</v>
      </c>
      <c r="K67" t="s">
        <v>192</v>
      </c>
      <c r="L67" t="s">
        <v>192</v>
      </c>
      <c r="M67" t="s">
        <v>387</v>
      </c>
      <c r="N67" t="s">
        <v>387</v>
      </c>
      <c r="O67" t="s">
        <v>678</v>
      </c>
      <c r="P67" t="s">
        <v>41</v>
      </c>
    </row>
    <row r="68" spans="1:16" x14ac:dyDescent="0.25">
      <c r="A68" t="s">
        <v>520</v>
      </c>
      <c r="B68" t="str">
        <f t="shared" si="1"/>
        <v>PTC3032 - Armário de distribuição</v>
      </c>
      <c r="D68" t="s">
        <v>404</v>
      </c>
      <c r="E68" t="s">
        <v>407</v>
      </c>
      <c r="F68" s="8" t="s">
        <v>445</v>
      </c>
      <c r="H68" t="s">
        <v>193</v>
      </c>
      <c r="I68" t="s">
        <v>193</v>
      </c>
      <c r="J68" t="s">
        <v>193</v>
      </c>
      <c r="K68" t="s">
        <v>193</v>
      </c>
      <c r="L68" t="s">
        <v>193</v>
      </c>
      <c r="M68" t="s">
        <v>193</v>
      </c>
      <c r="N68" t="s">
        <v>193</v>
      </c>
      <c r="O68" t="s">
        <v>679</v>
      </c>
      <c r="P68" t="s">
        <v>42</v>
      </c>
    </row>
    <row r="69" spans="1:16" x14ac:dyDescent="0.25">
      <c r="A69" t="s">
        <v>521</v>
      </c>
      <c r="B69" t="str">
        <f t="shared" si="1"/>
        <v>PTC3033 - Comando da máquina</v>
      </c>
      <c r="D69" t="s">
        <v>404</v>
      </c>
      <c r="E69" t="s">
        <v>407</v>
      </c>
      <c r="F69" s="8" t="s">
        <v>446</v>
      </c>
      <c r="H69" t="s">
        <v>194</v>
      </c>
      <c r="I69" t="s">
        <v>194</v>
      </c>
      <c r="J69" t="s">
        <v>194</v>
      </c>
      <c r="K69" t="s">
        <v>194</v>
      </c>
      <c r="L69" t="s">
        <v>194</v>
      </c>
      <c r="M69" t="s">
        <v>194</v>
      </c>
      <c r="N69" t="s">
        <v>194</v>
      </c>
      <c r="O69" t="s">
        <v>680</v>
      </c>
      <c r="P69" t="s">
        <v>43</v>
      </c>
    </row>
    <row r="70" spans="1:16" x14ac:dyDescent="0.25">
      <c r="A70" t="s">
        <v>522</v>
      </c>
      <c r="B70" t="str">
        <f t="shared" si="1"/>
        <v>PTC3034 - Comando da limpeza</v>
      </c>
      <c r="D70" t="s">
        <v>404</v>
      </c>
      <c r="E70" t="s">
        <v>407</v>
      </c>
      <c r="F70" s="8" t="s">
        <v>447</v>
      </c>
      <c r="H70" t="s">
        <v>195</v>
      </c>
      <c r="I70" t="s">
        <v>195</v>
      </c>
      <c r="J70" t="s">
        <v>195</v>
      </c>
      <c r="K70" t="s">
        <v>195</v>
      </c>
      <c r="L70" t="s">
        <v>195</v>
      </c>
      <c r="M70" t="s">
        <v>195</v>
      </c>
      <c r="N70" t="s">
        <v>195</v>
      </c>
      <c r="O70" t="s">
        <v>681</v>
      </c>
      <c r="P70" t="s">
        <v>44</v>
      </c>
    </row>
    <row r="71" spans="1:16" x14ac:dyDescent="0.25">
      <c r="A71" t="s">
        <v>523</v>
      </c>
      <c r="B71" t="str">
        <f t="shared" si="1"/>
        <v>PTC3035 - Sistema pneumático</v>
      </c>
      <c r="D71" t="s">
        <v>404</v>
      </c>
      <c r="E71" t="s">
        <v>407</v>
      </c>
      <c r="F71" s="8" t="s">
        <v>448</v>
      </c>
      <c r="H71" t="s">
        <v>196</v>
      </c>
      <c r="I71" t="s">
        <v>196</v>
      </c>
      <c r="J71" t="s">
        <v>196</v>
      </c>
      <c r="K71" t="s">
        <v>196</v>
      </c>
      <c r="L71" t="s">
        <v>196</v>
      </c>
      <c r="M71" t="s">
        <v>196</v>
      </c>
      <c r="N71" t="s">
        <v>196</v>
      </c>
      <c r="O71" t="s">
        <v>682</v>
      </c>
      <c r="P71" t="s">
        <v>45</v>
      </c>
    </row>
    <row r="72" spans="1:16" x14ac:dyDescent="0.25">
      <c r="A72" t="s">
        <v>524</v>
      </c>
      <c r="B72" t="str">
        <f t="shared" si="1"/>
        <v>PTC3036 - Parte elétrica</v>
      </c>
      <c r="D72" t="s">
        <v>404</v>
      </c>
      <c r="E72" t="s">
        <v>407</v>
      </c>
      <c r="F72" s="8" t="s">
        <v>449</v>
      </c>
      <c r="H72" t="s">
        <v>197</v>
      </c>
      <c r="I72" t="s">
        <v>197</v>
      </c>
      <c r="J72" t="s">
        <v>303</v>
      </c>
      <c r="K72" t="s">
        <v>197</v>
      </c>
      <c r="L72" t="s">
        <v>303</v>
      </c>
      <c r="M72" t="s">
        <v>303</v>
      </c>
      <c r="N72" t="s">
        <v>303</v>
      </c>
      <c r="O72" t="s">
        <v>303</v>
      </c>
      <c r="P72" t="s">
        <v>46</v>
      </c>
    </row>
    <row r="73" spans="1:16" x14ac:dyDescent="0.25">
      <c r="A73" t="s">
        <v>525</v>
      </c>
      <c r="B73" t="str">
        <f t="shared" si="1"/>
        <v>PTC4 - Montagem</v>
      </c>
      <c r="D73" t="s">
        <v>404</v>
      </c>
      <c r="E73" t="s">
        <v>408</v>
      </c>
      <c r="H73" s="2" t="s">
        <v>198</v>
      </c>
      <c r="I73" s="2" t="s">
        <v>198</v>
      </c>
      <c r="J73" s="2" t="s">
        <v>198</v>
      </c>
      <c r="K73" s="2" t="s">
        <v>198</v>
      </c>
      <c r="L73" s="2" t="s">
        <v>198</v>
      </c>
      <c r="M73" s="2" t="s">
        <v>198</v>
      </c>
      <c r="N73" s="2" t="s">
        <v>198</v>
      </c>
      <c r="O73" t="s">
        <v>198</v>
      </c>
      <c r="P73" t="s">
        <v>47</v>
      </c>
    </row>
    <row r="74" spans="1:16" x14ac:dyDescent="0.25">
      <c r="A74" t="s">
        <v>526</v>
      </c>
      <c r="B74" t="str">
        <f t="shared" si="1"/>
        <v>PTC4001 - Avisos de segurança</v>
      </c>
      <c r="D74" t="s">
        <v>404</v>
      </c>
      <c r="E74" t="s">
        <v>408</v>
      </c>
      <c r="F74" s="8" t="s">
        <v>414</v>
      </c>
      <c r="H74" t="s">
        <v>199</v>
      </c>
      <c r="I74" t="s">
        <v>199</v>
      </c>
      <c r="J74" t="s">
        <v>304</v>
      </c>
      <c r="K74" t="s">
        <v>199</v>
      </c>
      <c r="L74" t="s">
        <v>199</v>
      </c>
      <c r="M74" t="s">
        <v>304</v>
      </c>
      <c r="N74" t="s">
        <v>304</v>
      </c>
      <c r="O74" t="s">
        <v>683</v>
      </c>
      <c r="P74" t="s">
        <v>48</v>
      </c>
    </row>
    <row r="75" spans="1:16" x14ac:dyDescent="0.25">
      <c r="A75" t="s">
        <v>527</v>
      </c>
      <c r="B75" t="str">
        <f t="shared" si="1"/>
        <v>PTC4002 - Verificar o volume de fornecimento e executar a inspeção de entrega</v>
      </c>
      <c r="D75" t="s">
        <v>404</v>
      </c>
      <c r="E75" t="s">
        <v>408</v>
      </c>
      <c r="F75" s="8" t="s">
        <v>415</v>
      </c>
      <c r="H75" t="s">
        <v>200</v>
      </c>
      <c r="I75" t="s">
        <v>200</v>
      </c>
      <c r="J75" t="s">
        <v>200</v>
      </c>
      <c r="K75" t="s">
        <v>200</v>
      </c>
      <c r="L75" t="s">
        <v>200</v>
      </c>
      <c r="M75" t="s">
        <v>200</v>
      </c>
      <c r="N75" t="s">
        <v>200</v>
      </c>
      <c r="O75" t="s">
        <v>684</v>
      </c>
      <c r="P75" t="s">
        <v>49</v>
      </c>
    </row>
    <row r="76" spans="1:16" x14ac:dyDescent="0.25">
      <c r="A76" t="s">
        <v>528</v>
      </c>
      <c r="B76" t="str">
        <f t="shared" si="1"/>
        <v>PTC4003 - Transporte</v>
      </c>
      <c r="D76" t="s">
        <v>404</v>
      </c>
      <c r="E76" t="s">
        <v>408</v>
      </c>
      <c r="F76" s="8" t="s">
        <v>416</v>
      </c>
      <c r="H76" t="s">
        <v>201</v>
      </c>
      <c r="I76" t="s">
        <v>201</v>
      </c>
      <c r="J76" t="s">
        <v>272</v>
      </c>
      <c r="K76" t="s">
        <v>201</v>
      </c>
      <c r="L76" t="s">
        <v>201</v>
      </c>
      <c r="M76" t="s">
        <v>272</v>
      </c>
      <c r="N76" t="s">
        <v>272</v>
      </c>
      <c r="O76" t="s">
        <v>201</v>
      </c>
      <c r="P76" t="s">
        <v>50</v>
      </c>
    </row>
    <row r="77" spans="1:16" x14ac:dyDescent="0.25">
      <c r="A77" t="s">
        <v>529</v>
      </c>
      <c r="B77" t="str">
        <f t="shared" si="1"/>
        <v>PTC4004 - Montar</v>
      </c>
      <c r="D77" t="s">
        <v>404</v>
      </c>
      <c r="E77" t="s">
        <v>408</v>
      </c>
      <c r="F77" s="8" t="s">
        <v>417</v>
      </c>
      <c r="H77" t="s">
        <v>202</v>
      </c>
      <c r="I77" t="s">
        <v>202</v>
      </c>
      <c r="J77" t="s">
        <v>202</v>
      </c>
      <c r="K77" t="s">
        <v>202</v>
      </c>
      <c r="L77" t="s">
        <v>202</v>
      </c>
      <c r="M77" t="s">
        <v>202</v>
      </c>
      <c r="N77" t="s">
        <v>202</v>
      </c>
      <c r="O77" t="s">
        <v>685</v>
      </c>
      <c r="P77" t="s">
        <v>51</v>
      </c>
    </row>
    <row r="78" spans="1:16" x14ac:dyDescent="0.25">
      <c r="A78" t="s">
        <v>530</v>
      </c>
      <c r="B78" t="str">
        <f t="shared" si="1"/>
        <v>PTC4005 - Ligar</v>
      </c>
      <c r="D78" t="s">
        <v>404</v>
      </c>
      <c r="E78" t="s">
        <v>408</v>
      </c>
      <c r="F78" s="8" t="s">
        <v>418</v>
      </c>
      <c r="H78" t="s">
        <v>203</v>
      </c>
      <c r="I78" t="s">
        <v>203</v>
      </c>
      <c r="J78" t="s">
        <v>203</v>
      </c>
      <c r="K78" t="s">
        <v>203</v>
      </c>
      <c r="L78" t="s">
        <v>203</v>
      </c>
      <c r="M78" t="s">
        <v>203</v>
      </c>
      <c r="N78" t="s">
        <v>203</v>
      </c>
      <c r="O78" t="s">
        <v>686</v>
      </c>
      <c r="P78" t="s">
        <v>52</v>
      </c>
    </row>
    <row r="79" spans="1:16" x14ac:dyDescent="0.25">
      <c r="A79" t="s">
        <v>531</v>
      </c>
      <c r="B79" t="str">
        <f t="shared" si="1"/>
        <v>PTC4006 - Colocar em funcionamento</v>
      </c>
      <c r="D79" t="s">
        <v>404</v>
      </c>
      <c r="E79" t="s">
        <v>408</v>
      </c>
      <c r="F79" s="8" t="s">
        <v>419</v>
      </c>
      <c r="H79" t="s">
        <v>204</v>
      </c>
      <c r="I79" t="s">
        <v>204</v>
      </c>
      <c r="J79" t="s">
        <v>204</v>
      </c>
      <c r="K79" t="s">
        <v>204</v>
      </c>
      <c r="L79" t="s">
        <v>204</v>
      </c>
      <c r="M79" t="s">
        <v>204</v>
      </c>
      <c r="N79" t="s">
        <v>204</v>
      </c>
      <c r="O79" t="s">
        <v>687</v>
      </c>
      <c r="P79" t="s">
        <v>53</v>
      </c>
    </row>
    <row r="80" spans="1:16" x14ac:dyDescent="0.25">
      <c r="A80" t="s">
        <v>532</v>
      </c>
      <c r="B80" t="str">
        <f t="shared" si="1"/>
        <v>PTC4007 - Desligar</v>
      </c>
      <c r="D80" t="s">
        <v>404</v>
      </c>
      <c r="E80" t="s">
        <v>408</v>
      </c>
      <c r="F80" s="8" t="s">
        <v>420</v>
      </c>
      <c r="H80" t="s">
        <v>205</v>
      </c>
      <c r="I80" t="s">
        <v>205</v>
      </c>
      <c r="J80" t="s">
        <v>305</v>
      </c>
      <c r="K80" t="s">
        <v>205</v>
      </c>
      <c r="L80" t="s">
        <v>205</v>
      </c>
      <c r="M80" t="s">
        <v>305</v>
      </c>
      <c r="N80" t="s">
        <v>305</v>
      </c>
      <c r="O80" t="s">
        <v>688</v>
      </c>
      <c r="P80" t="s">
        <v>54</v>
      </c>
    </row>
    <row r="81" spans="1:16" x14ac:dyDescent="0.25">
      <c r="A81" t="s">
        <v>533</v>
      </c>
      <c r="B81" t="str">
        <f t="shared" si="1"/>
        <v>PTC4008 - Armazenamento</v>
      </c>
      <c r="D81" t="s">
        <v>404</v>
      </c>
      <c r="E81" t="s">
        <v>408</v>
      </c>
      <c r="F81" s="8" t="s">
        <v>421</v>
      </c>
      <c r="H81" t="s">
        <v>206</v>
      </c>
      <c r="I81" t="s">
        <v>206</v>
      </c>
      <c r="J81" t="s">
        <v>206</v>
      </c>
      <c r="K81" t="s">
        <v>206</v>
      </c>
      <c r="L81" t="s">
        <v>206</v>
      </c>
      <c r="M81" t="s">
        <v>206</v>
      </c>
      <c r="N81" t="s">
        <v>206</v>
      </c>
      <c r="O81" t="s">
        <v>206</v>
      </c>
      <c r="P81" t="s">
        <v>55</v>
      </c>
    </row>
    <row r="82" spans="1:16" x14ac:dyDescent="0.25">
      <c r="A82" t="s">
        <v>534</v>
      </c>
      <c r="B82" t="str">
        <f t="shared" si="1"/>
        <v>PTC4009 - Descarte</v>
      </c>
      <c r="D82" t="s">
        <v>404</v>
      </c>
      <c r="E82" t="s">
        <v>408</v>
      </c>
      <c r="F82" s="8" t="s">
        <v>422</v>
      </c>
      <c r="H82" t="s">
        <v>207</v>
      </c>
      <c r="I82" t="s">
        <v>207</v>
      </c>
      <c r="J82" t="s">
        <v>248</v>
      </c>
      <c r="K82" t="s">
        <v>207</v>
      </c>
      <c r="L82" t="s">
        <v>207</v>
      </c>
      <c r="M82" t="s">
        <v>248</v>
      </c>
      <c r="N82" t="s">
        <v>248</v>
      </c>
      <c r="O82" t="s">
        <v>689</v>
      </c>
      <c r="P82" t="s">
        <v>56</v>
      </c>
    </row>
    <row r="83" spans="1:16" x14ac:dyDescent="0.25">
      <c r="A83" t="s">
        <v>535</v>
      </c>
      <c r="B83" t="str">
        <f t="shared" si="1"/>
        <v>PTC5 - Operação</v>
      </c>
      <c r="D83" t="s">
        <v>404</v>
      </c>
      <c r="E83" t="s">
        <v>409</v>
      </c>
      <c r="H83" s="2" t="s">
        <v>208</v>
      </c>
      <c r="I83" s="2" t="s">
        <v>208</v>
      </c>
      <c r="J83" s="2" t="s">
        <v>208</v>
      </c>
      <c r="K83" s="2" t="s">
        <v>208</v>
      </c>
      <c r="L83" s="2" t="s">
        <v>208</v>
      </c>
      <c r="M83" s="2" t="s">
        <v>208</v>
      </c>
      <c r="N83" s="2" t="s">
        <v>208</v>
      </c>
      <c r="O83" t="s">
        <v>208</v>
      </c>
      <c r="P83" t="s">
        <v>57</v>
      </c>
    </row>
    <row r="84" spans="1:16" x14ac:dyDescent="0.25">
      <c r="A84" t="s">
        <v>536</v>
      </c>
      <c r="B84" t="str">
        <f t="shared" si="1"/>
        <v>PTC5001 - Avisos de segurança</v>
      </c>
      <c r="D84" t="s">
        <v>404</v>
      </c>
      <c r="E84" t="s">
        <v>409</v>
      </c>
      <c r="F84" s="8" t="s">
        <v>414</v>
      </c>
      <c r="H84" t="s">
        <v>199</v>
      </c>
      <c r="I84" t="s">
        <v>199</v>
      </c>
      <c r="J84" t="s">
        <v>304</v>
      </c>
      <c r="K84" t="s">
        <v>199</v>
      </c>
      <c r="L84" t="s">
        <v>199</v>
      </c>
      <c r="M84" t="s">
        <v>304</v>
      </c>
      <c r="N84" t="s">
        <v>304</v>
      </c>
      <c r="O84" t="s">
        <v>683</v>
      </c>
      <c r="P84" t="s">
        <v>48</v>
      </c>
    </row>
    <row r="85" spans="1:16" x14ac:dyDescent="0.25">
      <c r="A85" t="s">
        <v>537</v>
      </c>
      <c r="B85" t="str">
        <f t="shared" si="1"/>
        <v>PTC5002 - Dispositivos de proteção</v>
      </c>
      <c r="D85" t="s">
        <v>404</v>
      </c>
      <c r="E85" t="s">
        <v>409</v>
      </c>
      <c r="F85" s="8" t="s">
        <v>415</v>
      </c>
      <c r="H85" t="s">
        <v>165</v>
      </c>
      <c r="I85" t="s">
        <v>165</v>
      </c>
      <c r="J85" t="s">
        <v>165</v>
      </c>
      <c r="K85" t="s">
        <v>165</v>
      </c>
      <c r="L85" t="s">
        <v>165</v>
      </c>
      <c r="M85" t="s">
        <v>165</v>
      </c>
      <c r="N85" t="s">
        <v>165</v>
      </c>
      <c r="O85" t="s">
        <v>643</v>
      </c>
      <c r="P85" t="s">
        <v>17</v>
      </c>
    </row>
    <row r="86" spans="1:16" x14ac:dyDescent="0.25">
      <c r="A86" t="s">
        <v>538</v>
      </c>
      <c r="B86" t="str">
        <f t="shared" si="1"/>
        <v>PTC5003 - Botão de parada de emergência</v>
      </c>
      <c r="D86" t="s">
        <v>404</v>
      </c>
      <c r="E86" t="s">
        <v>409</v>
      </c>
      <c r="F86" s="8" t="s">
        <v>416</v>
      </c>
      <c r="H86" t="s">
        <v>209</v>
      </c>
      <c r="I86" t="s">
        <v>209</v>
      </c>
      <c r="J86" t="s">
        <v>306</v>
      </c>
      <c r="K86" t="s">
        <v>209</v>
      </c>
      <c r="L86" t="s">
        <v>209</v>
      </c>
      <c r="M86" t="s">
        <v>306</v>
      </c>
      <c r="N86" t="s">
        <v>306</v>
      </c>
      <c r="O86" t="s">
        <v>690</v>
      </c>
      <c r="P86" t="s">
        <v>58</v>
      </c>
    </row>
    <row r="87" spans="1:16" x14ac:dyDescent="0.25">
      <c r="A87" t="s">
        <v>539</v>
      </c>
      <c r="B87" t="str">
        <f t="shared" si="1"/>
        <v>PTC5004 - Dispositivos de aviso</v>
      </c>
      <c r="D87" t="s">
        <v>404</v>
      </c>
      <c r="E87" t="s">
        <v>409</v>
      </c>
      <c r="F87" s="8" t="s">
        <v>417</v>
      </c>
      <c r="H87" t="s">
        <v>183</v>
      </c>
      <c r="I87" t="s">
        <v>183</v>
      </c>
      <c r="J87" t="s">
        <v>183</v>
      </c>
      <c r="K87" t="s">
        <v>183</v>
      </c>
      <c r="L87" t="s">
        <v>183</v>
      </c>
      <c r="M87" t="s">
        <v>183</v>
      </c>
      <c r="N87" t="s">
        <v>183</v>
      </c>
      <c r="O87" t="s">
        <v>672</v>
      </c>
      <c r="P87" t="s">
        <v>38</v>
      </c>
    </row>
    <row r="88" spans="1:16" x14ac:dyDescent="0.25">
      <c r="A88" t="s">
        <v>540</v>
      </c>
      <c r="B88" t="str">
        <f t="shared" si="1"/>
        <v>PTC5005 - Luzes de sinalização</v>
      </c>
      <c r="D88" t="s">
        <v>404</v>
      </c>
      <c r="E88" t="s">
        <v>409</v>
      </c>
      <c r="F88" s="8" t="s">
        <v>418</v>
      </c>
      <c r="H88" t="s">
        <v>210</v>
      </c>
      <c r="I88" t="s">
        <v>210</v>
      </c>
      <c r="J88" t="s">
        <v>307</v>
      </c>
      <c r="K88" t="s">
        <v>210</v>
      </c>
      <c r="L88" t="s">
        <v>365</v>
      </c>
      <c r="M88" t="s">
        <v>307</v>
      </c>
      <c r="N88" t="s">
        <v>307</v>
      </c>
      <c r="O88" t="s">
        <v>691</v>
      </c>
      <c r="P88" t="s">
        <v>59</v>
      </c>
    </row>
    <row r="89" spans="1:16" x14ac:dyDescent="0.25">
      <c r="A89" t="s">
        <v>541</v>
      </c>
      <c r="B89" t="str">
        <f t="shared" si="1"/>
        <v>PTC5006 - Sirene de aviso</v>
      </c>
      <c r="D89" t="s">
        <v>404</v>
      </c>
      <c r="E89" t="s">
        <v>409</v>
      </c>
      <c r="F89" s="8" t="s">
        <v>419</v>
      </c>
      <c r="H89" t="s">
        <v>211</v>
      </c>
      <c r="I89" t="s">
        <v>211</v>
      </c>
      <c r="J89" t="s">
        <v>308</v>
      </c>
      <c r="K89" t="s">
        <v>211</v>
      </c>
      <c r="L89" t="s">
        <v>211</v>
      </c>
      <c r="M89" t="s">
        <v>308</v>
      </c>
      <c r="N89" t="s">
        <v>308</v>
      </c>
      <c r="O89" t="s">
        <v>692</v>
      </c>
      <c r="P89" t="s">
        <v>60</v>
      </c>
    </row>
    <row r="90" spans="1:16" x14ac:dyDescent="0.25">
      <c r="A90" t="s">
        <v>542</v>
      </c>
      <c r="B90" t="str">
        <f t="shared" si="1"/>
        <v>PTC5007 - Dispositivos de comando</v>
      </c>
      <c r="D90" t="s">
        <v>404</v>
      </c>
      <c r="E90" t="s">
        <v>409</v>
      </c>
      <c r="F90" s="8" t="s">
        <v>420</v>
      </c>
      <c r="H90" t="s">
        <v>184</v>
      </c>
      <c r="I90" t="s">
        <v>184</v>
      </c>
      <c r="J90" t="s">
        <v>184</v>
      </c>
      <c r="K90" t="s">
        <v>184</v>
      </c>
      <c r="L90" t="s">
        <v>184</v>
      </c>
      <c r="M90" t="s">
        <v>184</v>
      </c>
      <c r="N90" t="s">
        <v>184</v>
      </c>
      <c r="O90" t="s">
        <v>673</v>
      </c>
      <c r="P90" t="s">
        <v>39</v>
      </c>
    </row>
    <row r="91" spans="1:16" x14ac:dyDescent="0.25">
      <c r="A91" s="9" t="s">
        <v>783</v>
      </c>
      <c r="B91" s="9" t="str">
        <f t="shared" si="1"/>
        <v>PTC5008 - sistema de controlo de processo PlantiT</v>
      </c>
      <c r="D91" t="s">
        <v>404</v>
      </c>
      <c r="E91" t="s">
        <v>409</v>
      </c>
      <c r="F91" s="8" t="s">
        <v>421</v>
      </c>
      <c r="O91" t="s">
        <v>693</v>
      </c>
      <c r="P91" t="s">
        <v>377</v>
      </c>
    </row>
    <row r="92" spans="1:16" x14ac:dyDescent="0.25">
      <c r="A92" s="9" t="s">
        <v>784</v>
      </c>
      <c r="B92" s="9" t="str">
        <f t="shared" si="1"/>
        <v>PTC5009 - teclado</v>
      </c>
      <c r="D92" t="s">
        <v>404</v>
      </c>
      <c r="E92" t="s">
        <v>409</v>
      </c>
      <c r="F92" s="8" t="s">
        <v>422</v>
      </c>
      <c r="O92" t="s">
        <v>694</v>
      </c>
      <c r="P92" t="s">
        <v>62</v>
      </c>
    </row>
    <row r="93" spans="1:16" x14ac:dyDescent="0.25">
      <c r="A93" t="s">
        <v>543</v>
      </c>
      <c r="B93" t="str">
        <f t="shared" si="1"/>
        <v>PTC5010 - Painel de controlo</v>
      </c>
      <c r="D93" t="s">
        <v>404</v>
      </c>
      <c r="E93" t="s">
        <v>409</v>
      </c>
      <c r="F93" s="8" t="s">
        <v>423</v>
      </c>
      <c r="J93" t="s">
        <v>309</v>
      </c>
      <c r="O93" t="s">
        <v>674</v>
      </c>
      <c r="P93" t="s">
        <v>61</v>
      </c>
    </row>
    <row r="94" spans="1:16" x14ac:dyDescent="0.25">
      <c r="A94" t="s">
        <v>544</v>
      </c>
      <c r="B94" t="str">
        <f t="shared" si="1"/>
        <v>PTC5011 - Botões</v>
      </c>
      <c r="D94" t="s">
        <v>404</v>
      </c>
      <c r="E94" t="s">
        <v>409</v>
      </c>
      <c r="F94" s="8" t="s">
        <v>424</v>
      </c>
      <c r="J94" t="s">
        <v>310</v>
      </c>
      <c r="O94" t="s">
        <v>695</v>
      </c>
      <c r="P94" t="s">
        <v>310</v>
      </c>
    </row>
    <row r="95" spans="1:16" x14ac:dyDescent="0.25">
      <c r="A95" s="9" t="s">
        <v>770</v>
      </c>
      <c r="B95" s="9" t="str">
        <f t="shared" si="1"/>
        <v>PTC5012 - [Redis] interruptor de chave</v>
      </c>
      <c r="D95" t="s">
        <v>404</v>
      </c>
      <c r="E95" t="s">
        <v>409</v>
      </c>
      <c r="F95" s="8" t="s">
        <v>425</v>
      </c>
      <c r="O95" t="s">
        <v>696</v>
      </c>
      <c r="P95" t="s">
        <v>141</v>
      </c>
    </row>
    <row r="96" spans="1:16" x14ac:dyDescent="0.25">
      <c r="A96" s="9" t="s">
        <v>785</v>
      </c>
      <c r="B96" s="9" t="str">
        <f t="shared" si="1"/>
        <v>PTC5013 - teclado</v>
      </c>
      <c r="D96" t="s">
        <v>404</v>
      </c>
      <c r="E96" t="s">
        <v>409</v>
      </c>
      <c r="F96" s="8" t="s">
        <v>426</v>
      </c>
      <c r="O96" t="s">
        <v>694</v>
      </c>
      <c r="P96" t="s">
        <v>62</v>
      </c>
    </row>
    <row r="97" spans="1:16" x14ac:dyDescent="0.25">
      <c r="A97" t="s">
        <v>545</v>
      </c>
      <c r="B97" t="str">
        <f t="shared" si="1"/>
        <v>PTC5014 - Interruptor principal</v>
      </c>
      <c r="D97" t="s">
        <v>404</v>
      </c>
      <c r="E97" t="s">
        <v>409</v>
      </c>
      <c r="F97" s="8" t="s">
        <v>427</v>
      </c>
      <c r="H97" t="s">
        <v>212</v>
      </c>
      <c r="I97" t="s">
        <v>212</v>
      </c>
      <c r="J97" t="s">
        <v>212</v>
      </c>
      <c r="K97" t="s">
        <v>212</v>
      </c>
      <c r="L97" t="s">
        <v>212</v>
      </c>
      <c r="M97" t="s">
        <v>212</v>
      </c>
      <c r="N97" t="s">
        <v>212</v>
      </c>
      <c r="O97" t="s">
        <v>697</v>
      </c>
      <c r="P97" t="s">
        <v>63</v>
      </c>
    </row>
    <row r="98" spans="1:16" x14ac:dyDescent="0.25">
      <c r="A98" t="s">
        <v>546</v>
      </c>
      <c r="B98" t="str">
        <f t="shared" si="1"/>
        <v>PTC5015 - Válvulas de bloqueio manual</v>
      </c>
      <c r="D98" t="s">
        <v>404</v>
      </c>
      <c r="E98" t="s">
        <v>409</v>
      </c>
      <c r="F98" s="8" t="s">
        <v>428</v>
      </c>
      <c r="H98" t="s">
        <v>213</v>
      </c>
      <c r="I98" t="s">
        <v>213</v>
      </c>
      <c r="J98" t="s">
        <v>213</v>
      </c>
      <c r="K98" t="s">
        <v>213</v>
      </c>
      <c r="L98" t="s">
        <v>213</v>
      </c>
      <c r="M98" t="s">
        <v>213</v>
      </c>
      <c r="N98" t="s">
        <v>213</v>
      </c>
      <c r="O98" t="s">
        <v>698</v>
      </c>
      <c r="P98" t="s">
        <v>64</v>
      </c>
    </row>
    <row r="99" spans="1:16" x14ac:dyDescent="0.25">
      <c r="A99" t="s">
        <v>547</v>
      </c>
      <c r="B99" t="str">
        <f t="shared" si="1"/>
        <v>PTC5016 - Distribuidor</v>
      </c>
      <c r="D99" t="s">
        <v>404</v>
      </c>
      <c r="E99" t="s">
        <v>409</v>
      </c>
      <c r="F99" s="8" t="s">
        <v>429</v>
      </c>
      <c r="J99" t="s">
        <v>273</v>
      </c>
      <c r="O99" t="s">
        <v>273</v>
      </c>
      <c r="P99" t="s">
        <v>142</v>
      </c>
    </row>
    <row r="100" spans="1:16" x14ac:dyDescent="0.25">
      <c r="A100" s="9" t="s">
        <v>786</v>
      </c>
      <c r="B100" s="9" t="str">
        <f t="shared" si="1"/>
        <v>PTC5017 - distribuidor CIP</v>
      </c>
      <c r="D100" t="s">
        <v>404</v>
      </c>
      <c r="E100" t="s">
        <v>409</v>
      </c>
      <c r="F100" s="8" t="s">
        <v>430</v>
      </c>
      <c r="O100" t="s">
        <v>699</v>
      </c>
      <c r="P100" t="s">
        <v>396</v>
      </c>
    </row>
    <row r="101" spans="1:16" x14ac:dyDescent="0.25">
      <c r="A101" s="9" t="s">
        <v>771</v>
      </c>
      <c r="B101" s="9" t="str">
        <f t="shared" si="1"/>
        <v>PTC5018 - Distribuidor na alimentação de mídia</v>
      </c>
      <c r="D101" t="s">
        <v>404</v>
      </c>
      <c r="E101" t="s">
        <v>409</v>
      </c>
      <c r="F101" s="8" t="s">
        <v>431</v>
      </c>
      <c r="O101" t="s">
        <v>700</v>
      </c>
      <c r="P101" t="s">
        <v>143</v>
      </c>
    </row>
    <row r="102" spans="1:16" x14ac:dyDescent="0.25">
      <c r="A102" t="s">
        <v>548</v>
      </c>
      <c r="B102" t="str">
        <f t="shared" si="1"/>
        <v>PTC5019 - Seletor na limpeza dos camiões cisterna</v>
      </c>
      <c r="D102" t="s">
        <v>404</v>
      </c>
      <c r="E102" t="s">
        <v>409</v>
      </c>
      <c r="F102" s="8" t="s">
        <v>432</v>
      </c>
      <c r="J102" t="s">
        <v>311</v>
      </c>
      <c r="O102" t="s">
        <v>701</v>
      </c>
      <c r="P102" t="s">
        <v>311</v>
      </c>
    </row>
    <row r="103" spans="1:16" x14ac:dyDescent="0.25">
      <c r="A103" t="s">
        <v>549</v>
      </c>
      <c r="B103" t="str">
        <f t="shared" si="1"/>
        <v>PTC5020 - Estabelecer prontidão operacional</v>
      </c>
      <c r="D103" t="s">
        <v>404</v>
      </c>
      <c r="E103" t="s">
        <v>409</v>
      </c>
      <c r="F103" s="8" t="s">
        <v>433</v>
      </c>
      <c r="H103" t="s">
        <v>214</v>
      </c>
      <c r="I103" t="s">
        <v>214</v>
      </c>
      <c r="J103" t="s">
        <v>312</v>
      </c>
      <c r="K103" t="s">
        <v>214</v>
      </c>
      <c r="L103" t="s">
        <v>214</v>
      </c>
      <c r="M103" t="s">
        <v>388</v>
      </c>
      <c r="N103" t="s">
        <v>388</v>
      </c>
      <c r="O103" t="s">
        <v>702</v>
      </c>
      <c r="P103" t="s">
        <v>65</v>
      </c>
    </row>
    <row r="104" spans="1:16" x14ac:dyDescent="0.25">
      <c r="A104" t="s">
        <v>550</v>
      </c>
      <c r="B104" t="str">
        <f t="shared" si="1"/>
        <v>PTC5021 - Abrir e configurar a alimentação do ar controlado</v>
      </c>
      <c r="D104" t="s">
        <v>404</v>
      </c>
      <c r="E104" t="s">
        <v>409</v>
      </c>
      <c r="F104" s="8" t="s">
        <v>434</v>
      </c>
      <c r="H104" t="s">
        <v>215</v>
      </c>
      <c r="I104" t="s">
        <v>215</v>
      </c>
      <c r="J104" t="s">
        <v>313</v>
      </c>
      <c r="K104" t="s">
        <v>215</v>
      </c>
      <c r="L104" t="s">
        <v>366</v>
      </c>
      <c r="M104" t="s">
        <v>313</v>
      </c>
      <c r="N104" t="s">
        <v>313</v>
      </c>
      <c r="O104" t="s">
        <v>703</v>
      </c>
      <c r="P104" t="s">
        <v>66</v>
      </c>
    </row>
    <row r="105" spans="1:16" x14ac:dyDescent="0.25">
      <c r="A105" t="s">
        <v>551</v>
      </c>
      <c r="B105" t="str">
        <f t="shared" si="1"/>
        <v>PTC5022 - Ligar a alimentação de tensão</v>
      </c>
      <c r="D105" t="s">
        <v>404</v>
      </c>
      <c r="E105" t="s">
        <v>409</v>
      </c>
      <c r="F105" s="8" t="s">
        <v>435</v>
      </c>
      <c r="H105" t="s">
        <v>216</v>
      </c>
      <c r="I105" t="s">
        <v>216</v>
      </c>
      <c r="J105" t="s">
        <v>216</v>
      </c>
      <c r="K105" t="s">
        <v>216</v>
      </c>
      <c r="L105" t="s">
        <v>216</v>
      </c>
      <c r="M105" t="s">
        <v>216</v>
      </c>
      <c r="N105" t="s">
        <v>216</v>
      </c>
      <c r="O105" t="s">
        <v>704</v>
      </c>
      <c r="P105" t="s">
        <v>67</v>
      </c>
    </row>
    <row r="106" spans="1:16" x14ac:dyDescent="0.25">
      <c r="A106" t="s">
        <v>552</v>
      </c>
      <c r="B106" t="str">
        <f t="shared" si="1"/>
        <v>PTC5023 - Ligar tensão de comando</v>
      </c>
      <c r="D106" t="s">
        <v>404</v>
      </c>
      <c r="E106" t="s">
        <v>409</v>
      </c>
      <c r="F106" s="8" t="s">
        <v>436</v>
      </c>
      <c r="H106" t="s">
        <v>217</v>
      </c>
      <c r="I106" t="s">
        <v>217</v>
      </c>
      <c r="J106" t="s">
        <v>314</v>
      </c>
      <c r="K106" t="s">
        <v>217</v>
      </c>
      <c r="L106" t="s">
        <v>217</v>
      </c>
      <c r="M106" t="s">
        <v>314</v>
      </c>
      <c r="N106" t="s">
        <v>314</v>
      </c>
      <c r="O106" t="s">
        <v>705</v>
      </c>
      <c r="P106" t="s">
        <v>68</v>
      </c>
    </row>
    <row r="107" spans="1:16" x14ac:dyDescent="0.25">
      <c r="A107" s="9" t="s">
        <v>787</v>
      </c>
      <c r="B107" s="9" t="str">
        <f t="shared" si="1"/>
        <v>PTC5024 - Ligar o gravador de dados</v>
      </c>
      <c r="D107" t="s">
        <v>404</v>
      </c>
      <c r="E107" t="s">
        <v>409</v>
      </c>
      <c r="F107" s="8" t="s">
        <v>437</v>
      </c>
      <c r="O107" t="s">
        <v>706</v>
      </c>
      <c r="P107" t="s">
        <v>69</v>
      </c>
    </row>
    <row r="108" spans="1:16" x14ac:dyDescent="0.25">
      <c r="A108" t="s">
        <v>553</v>
      </c>
      <c r="B108" t="str">
        <f t="shared" si="1"/>
        <v>PTC5025 - Preparar a máquina</v>
      </c>
      <c r="D108" t="s">
        <v>404</v>
      </c>
      <c r="E108" t="s">
        <v>409</v>
      </c>
      <c r="F108" s="8" t="s">
        <v>438</v>
      </c>
      <c r="H108" t="s">
        <v>218</v>
      </c>
      <c r="I108" t="s">
        <v>218</v>
      </c>
      <c r="J108" t="s">
        <v>315</v>
      </c>
      <c r="K108" t="s">
        <v>218</v>
      </c>
      <c r="L108" t="s">
        <v>218</v>
      </c>
      <c r="M108" t="s">
        <v>315</v>
      </c>
      <c r="N108" t="s">
        <v>315</v>
      </c>
      <c r="O108" t="s">
        <v>707</v>
      </c>
      <c r="P108" t="s">
        <v>70</v>
      </c>
    </row>
    <row r="109" spans="1:16" x14ac:dyDescent="0.25">
      <c r="A109" t="s">
        <v>554</v>
      </c>
      <c r="B109" t="str">
        <f t="shared" si="1"/>
        <v>PTC5026 - Limpeza de máquinas/sistemas externos</v>
      </c>
      <c r="D109" t="s">
        <v>404</v>
      </c>
      <c r="E109" t="s">
        <v>409</v>
      </c>
      <c r="F109" s="8" t="s">
        <v>439</v>
      </c>
      <c r="N109" t="s">
        <v>316</v>
      </c>
      <c r="O109" t="s">
        <v>708</v>
      </c>
      <c r="P109" t="s">
        <v>401</v>
      </c>
    </row>
    <row r="110" spans="1:16" x14ac:dyDescent="0.25">
      <c r="A110" t="s">
        <v>555</v>
      </c>
      <c r="B110" t="str">
        <f t="shared" si="1"/>
        <v>PTC5027 - Limpeza das máquinas/dos sistemas externos</v>
      </c>
      <c r="D110" t="s">
        <v>404</v>
      </c>
      <c r="E110" t="s">
        <v>409</v>
      </c>
      <c r="F110" s="8" t="s">
        <v>440</v>
      </c>
      <c r="H110" t="s">
        <v>219</v>
      </c>
      <c r="I110" t="s">
        <v>219</v>
      </c>
      <c r="J110" t="s">
        <v>316</v>
      </c>
      <c r="K110" t="s">
        <v>219</v>
      </c>
      <c r="L110" t="s">
        <v>219</v>
      </c>
      <c r="M110" t="s">
        <v>316</v>
      </c>
      <c r="N110" t="s">
        <v>304</v>
      </c>
      <c r="O110" t="s">
        <v>709</v>
      </c>
      <c r="P110" t="s">
        <v>71</v>
      </c>
    </row>
    <row r="111" spans="1:16" x14ac:dyDescent="0.25">
      <c r="A111" t="s">
        <v>556</v>
      </c>
      <c r="B111" t="str">
        <f t="shared" si="1"/>
        <v>PTC5028 - Avisos de segurança</v>
      </c>
      <c r="D111" t="s">
        <v>404</v>
      </c>
      <c r="E111" t="s">
        <v>409</v>
      </c>
      <c r="F111" s="8" t="s">
        <v>441</v>
      </c>
      <c r="H111" t="s">
        <v>199</v>
      </c>
      <c r="I111" t="s">
        <v>199</v>
      </c>
      <c r="J111" t="s">
        <v>304</v>
      </c>
      <c r="K111" t="s">
        <v>199</v>
      </c>
      <c r="L111" t="s">
        <v>199</v>
      </c>
      <c r="M111" t="s">
        <v>304</v>
      </c>
      <c r="O111" t="s">
        <v>683</v>
      </c>
      <c r="P111" t="s">
        <v>48</v>
      </c>
    </row>
    <row r="112" spans="1:16" x14ac:dyDescent="0.25">
      <c r="A112" t="s">
        <v>557</v>
      </c>
      <c r="B112" t="str">
        <f t="shared" si="1"/>
        <v>PTC5029 - Lista de pequenas intervenções</v>
      </c>
      <c r="D112" t="s">
        <v>404</v>
      </c>
      <c r="E112" t="s">
        <v>409</v>
      </c>
      <c r="F112" s="8" t="s">
        <v>442</v>
      </c>
      <c r="L112" t="s">
        <v>367</v>
      </c>
      <c r="O112" t="s">
        <v>710</v>
      </c>
      <c r="P112" t="s">
        <v>367</v>
      </c>
    </row>
    <row r="113" spans="1:16" x14ac:dyDescent="0.25">
      <c r="A113" t="s">
        <v>558</v>
      </c>
      <c r="B113" t="str">
        <f t="shared" si="1"/>
        <v>PTC5030 - Requisitos</v>
      </c>
      <c r="D113" t="s">
        <v>404</v>
      </c>
      <c r="E113" t="s">
        <v>409</v>
      </c>
      <c r="F113" s="8" t="s">
        <v>443</v>
      </c>
      <c r="H113" t="s">
        <v>220</v>
      </c>
      <c r="I113" t="s">
        <v>220</v>
      </c>
      <c r="J113" t="s">
        <v>237</v>
      </c>
      <c r="K113" t="s">
        <v>220</v>
      </c>
      <c r="L113" t="s">
        <v>220</v>
      </c>
      <c r="M113" t="s">
        <v>237</v>
      </c>
      <c r="N113" t="s">
        <v>237</v>
      </c>
      <c r="O113" t="s">
        <v>711</v>
      </c>
      <c r="P113" t="s">
        <v>72</v>
      </c>
    </row>
    <row r="114" spans="1:16" x14ac:dyDescent="0.25">
      <c r="A114" t="s">
        <v>559</v>
      </c>
      <c r="B114" t="str">
        <f t="shared" si="1"/>
        <v>PTC5031 - Preparar</v>
      </c>
      <c r="D114" t="s">
        <v>404</v>
      </c>
      <c r="E114" t="s">
        <v>409</v>
      </c>
      <c r="F114" s="8" t="s">
        <v>444</v>
      </c>
      <c r="H114" t="s">
        <v>221</v>
      </c>
      <c r="I114" t="s">
        <v>221</v>
      </c>
      <c r="J114" t="s">
        <v>221</v>
      </c>
      <c r="K114" t="s">
        <v>221</v>
      </c>
      <c r="L114" t="s">
        <v>221</v>
      </c>
      <c r="M114" t="s">
        <v>221</v>
      </c>
      <c r="N114" t="s">
        <v>221</v>
      </c>
      <c r="O114" t="s">
        <v>712</v>
      </c>
      <c r="P114" t="s">
        <v>73</v>
      </c>
    </row>
    <row r="115" spans="1:16" x14ac:dyDescent="0.25">
      <c r="A115" t="s">
        <v>560</v>
      </c>
      <c r="B115" t="str">
        <f t="shared" si="1"/>
        <v>PTC5032 - Executar</v>
      </c>
      <c r="D115" t="s">
        <v>404</v>
      </c>
      <c r="E115" t="s">
        <v>409</v>
      </c>
      <c r="F115" s="8" t="s">
        <v>445</v>
      </c>
      <c r="H115" t="s">
        <v>222</v>
      </c>
      <c r="I115" t="s">
        <v>222</v>
      </c>
      <c r="J115" t="s">
        <v>222</v>
      </c>
      <c r="K115" t="s">
        <v>222</v>
      </c>
      <c r="L115" t="s">
        <v>222</v>
      </c>
      <c r="M115" t="s">
        <v>222</v>
      </c>
      <c r="N115" t="s">
        <v>222</v>
      </c>
      <c r="O115" t="s">
        <v>713</v>
      </c>
      <c r="P115" t="s">
        <v>74</v>
      </c>
    </row>
    <row r="116" spans="1:16" x14ac:dyDescent="0.25">
      <c r="A116" t="s">
        <v>561</v>
      </c>
      <c r="B116" t="str">
        <f t="shared" si="1"/>
        <v>PTC5033 - Encerrar</v>
      </c>
      <c r="D116" t="s">
        <v>404</v>
      </c>
      <c r="E116" t="s">
        <v>409</v>
      </c>
      <c r="F116" s="8" t="s">
        <v>446</v>
      </c>
      <c r="H116" t="s">
        <v>223</v>
      </c>
      <c r="I116" t="s">
        <v>223</v>
      </c>
      <c r="J116" t="s">
        <v>317</v>
      </c>
      <c r="K116" t="s">
        <v>223</v>
      </c>
      <c r="L116" t="s">
        <v>223</v>
      </c>
      <c r="M116" t="s">
        <v>317</v>
      </c>
      <c r="N116" t="s">
        <v>317</v>
      </c>
      <c r="O116" t="s">
        <v>714</v>
      </c>
      <c r="P116" t="s">
        <v>75</v>
      </c>
    </row>
    <row r="117" spans="1:16" x14ac:dyDescent="0.25">
      <c r="A117" t="s">
        <v>562</v>
      </c>
      <c r="B117" t="str">
        <f t="shared" si="1"/>
        <v>PTC5034 - Efetuar o enxágue com água quente</v>
      </c>
      <c r="D117" t="s">
        <v>404</v>
      </c>
      <c r="E117" t="s">
        <v>409</v>
      </c>
      <c r="F117" s="8" t="s">
        <v>447</v>
      </c>
      <c r="L117" t="s">
        <v>368</v>
      </c>
      <c r="O117" t="s">
        <v>275</v>
      </c>
      <c r="P117" t="s">
        <v>275</v>
      </c>
    </row>
    <row r="118" spans="1:16" x14ac:dyDescent="0.25">
      <c r="A118" t="s">
        <v>563</v>
      </c>
      <c r="B118" t="str">
        <f t="shared" si="1"/>
        <v>PTC5035 - Limpeza do sistema CIP</v>
      </c>
      <c r="D118" t="s">
        <v>404</v>
      </c>
      <c r="E118" t="s">
        <v>409</v>
      </c>
      <c r="F118" s="8" t="s">
        <v>448</v>
      </c>
      <c r="H118" t="s">
        <v>224</v>
      </c>
      <c r="I118" t="s">
        <v>224</v>
      </c>
      <c r="J118" t="s">
        <v>224</v>
      </c>
      <c r="K118" t="s">
        <v>224</v>
      </c>
      <c r="L118" t="s">
        <v>224</v>
      </c>
      <c r="M118" t="s">
        <v>224</v>
      </c>
      <c r="N118" t="s">
        <v>224</v>
      </c>
      <c r="O118" t="s">
        <v>224</v>
      </c>
      <c r="P118" t="s">
        <v>76</v>
      </c>
    </row>
    <row r="119" spans="1:16" x14ac:dyDescent="0.25">
      <c r="A119" t="s">
        <v>564</v>
      </c>
      <c r="B119" t="str">
        <f t="shared" si="1"/>
        <v>PTC5036 - Avisos de segurança</v>
      </c>
      <c r="D119" t="s">
        <v>404</v>
      </c>
      <c r="E119" t="s">
        <v>409</v>
      </c>
      <c r="F119" s="8" t="s">
        <v>449</v>
      </c>
      <c r="H119" t="s">
        <v>199</v>
      </c>
      <c r="I119" t="s">
        <v>199</v>
      </c>
      <c r="J119" t="s">
        <v>304</v>
      </c>
      <c r="K119" t="s">
        <v>199</v>
      </c>
      <c r="L119" t="s">
        <v>199</v>
      </c>
      <c r="M119" t="s">
        <v>304</v>
      </c>
      <c r="N119" t="s">
        <v>304</v>
      </c>
      <c r="O119" t="s">
        <v>683</v>
      </c>
      <c r="P119" t="s">
        <v>48</v>
      </c>
    </row>
    <row r="120" spans="1:16" x14ac:dyDescent="0.25">
      <c r="A120" t="s">
        <v>565</v>
      </c>
      <c r="B120" t="str">
        <f t="shared" si="1"/>
        <v>PTC5037 - Requisitos</v>
      </c>
      <c r="D120" t="s">
        <v>404</v>
      </c>
      <c r="E120" t="s">
        <v>409</v>
      </c>
      <c r="F120" s="8" t="s">
        <v>450</v>
      </c>
      <c r="H120" t="s">
        <v>220</v>
      </c>
      <c r="I120" t="s">
        <v>220</v>
      </c>
      <c r="J120" t="s">
        <v>237</v>
      </c>
      <c r="K120" t="s">
        <v>220</v>
      </c>
      <c r="L120" t="s">
        <v>220</v>
      </c>
      <c r="M120" t="s">
        <v>237</v>
      </c>
      <c r="N120" t="s">
        <v>237</v>
      </c>
      <c r="O120" t="s">
        <v>711</v>
      </c>
      <c r="P120" t="s">
        <v>72</v>
      </c>
    </row>
    <row r="121" spans="1:16" x14ac:dyDescent="0.25">
      <c r="A121" t="s">
        <v>566</v>
      </c>
      <c r="B121" t="str">
        <f t="shared" si="1"/>
        <v>PTC5038 - Preparar</v>
      </c>
      <c r="D121" t="s">
        <v>404</v>
      </c>
      <c r="E121" t="s">
        <v>409</v>
      </c>
      <c r="F121" s="8" t="s">
        <v>451</v>
      </c>
      <c r="H121" t="s">
        <v>221</v>
      </c>
      <c r="I121" t="s">
        <v>221</v>
      </c>
      <c r="J121" t="s">
        <v>221</v>
      </c>
      <c r="K121" t="s">
        <v>221</v>
      </c>
      <c r="L121" t="s">
        <v>221</v>
      </c>
      <c r="M121" t="s">
        <v>221</v>
      </c>
      <c r="N121" t="s">
        <v>221</v>
      </c>
      <c r="O121" t="s">
        <v>712</v>
      </c>
      <c r="P121" t="s">
        <v>73</v>
      </c>
    </row>
    <row r="122" spans="1:16" x14ac:dyDescent="0.25">
      <c r="A122" t="s">
        <v>567</v>
      </c>
      <c r="B122" t="str">
        <f t="shared" si="1"/>
        <v>PTC5039 - Executar</v>
      </c>
      <c r="D122" t="s">
        <v>404</v>
      </c>
      <c r="E122" t="s">
        <v>409</v>
      </c>
      <c r="F122" s="8" t="s">
        <v>452</v>
      </c>
      <c r="H122" t="s">
        <v>222</v>
      </c>
      <c r="I122" t="s">
        <v>222</v>
      </c>
      <c r="J122" t="s">
        <v>222</v>
      </c>
      <c r="K122" t="s">
        <v>222</v>
      </c>
      <c r="L122" t="s">
        <v>222</v>
      </c>
      <c r="M122" t="s">
        <v>222</v>
      </c>
      <c r="N122" t="s">
        <v>222</v>
      </c>
      <c r="O122" t="s">
        <v>713</v>
      </c>
      <c r="P122" t="s">
        <v>74</v>
      </c>
    </row>
    <row r="123" spans="1:16" x14ac:dyDescent="0.25">
      <c r="A123" t="s">
        <v>568</v>
      </c>
      <c r="B123" t="str">
        <f t="shared" si="1"/>
        <v>PTC5040 - Encerrar</v>
      </c>
      <c r="D123" t="s">
        <v>404</v>
      </c>
      <c r="E123" t="s">
        <v>409</v>
      </c>
      <c r="F123" s="8" t="s">
        <v>453</v>
      </c>
      <c r="H123" t="s">
        <v>223</v>
      </c>
      <c r="I123" t="s">
        <v>223</v>
      </c>
      <c r="J123" t="s">
        <v>317</v>
      </c>
      <c r="K123" t="s">
        <v>223</v>
      </c>
      <c r="L123" t="s">
        <v>223</v>
      </c>
      <c r="M123" t="s">
        <v>317</v>
      </c>
      <c r="N123" t="s">
        <v>317</v>
      </c>
      <c r="O123" t="s">
        <v>714</v>
      </c>
      <c r="P123" t="s">
        <v>75</v>
      </c>
    </row>
    <row r="124" spans="1:16" x14ac:dyDescent="0.25">
      <c r="A124" s="9" t="s">
        <v>788</v>
      </c>
      <c r="B124" s="9" t="str">
        <f t="shared" si="1"/>
        <v>PTC5041 - Prepare el distribuidor para la siguiente producción</v>
      </c>
      <c r="D124" t="s">
        <v>404</v>
      </c>
      <c r="E124" t="s">
        <v>409</v>
      </c>
      <c r="F124" s="8" t="s">
        <v>454</v>
      </c>
      <c r="O124" t="s">
        <v>276</v>
      </c>
      <c r="P124" t="s">
        <v>276</v>
      </c>
    </row>
    <row r="125" spans="1:16" x14ac:dyDescent="0.25">
      <c r="A125" s="9" t="s">
        <v>789</v>
      </c>
      <c r="B125" s="9" t="str">
        <f t="shared" si="1"/>
        <v>PTC5042 - Distribuidor em CR70 circuito detergente</v>
      </c>
      <c r="D125" t="s">
        <v>404</v>
      </c>
      <c r="E125" t="s">
        <v>409</v>
      </c>
      <c r="F125" s="8" t="s">
        <v>455</v>
      </c>
      <c r="O125" t="s">
        <v>715</v>
      </c>
      <c r="P125" t="s">
        <v>397</v>
      </c>
    </row>
    <row r="126" spans="1:16" x14ac:dyDescent="0.25">
      <c r="A126" s="9" t="s">
        <v>790</v>
      </c>
      <c r="B126" s="9" t="str">
        <f t="shared" si="1"/>
        <v>PTC5043 - Distribuidor em CR69 circuito detergente</v>
      </c>
      <c r="D126" t="s">
        <v>404</v>
      </c>
      <c r="E126" t="s">
        <v>409</v>
      </c>
      <c r="F126" s="8" t="s">
        <v>456</v>
      </c>
      <c r="O126" t="s">
        <v>716</v>
      </c>
      <c r="P126" t="s">
        <v>398</v>
      </c>
    </row>
    <row r="127" spans="1:16" x14ac:dyDescent="0.25">
      <c r="A127" t="s">
        <v>569</v>
      </c>
      <c r="B127" t="str">
        <f t="shared" si="1"/>
        <v>PTC5044 - Cancelar prontidão operacional</v>
      </c>
      <c r="D127" t="s">
        <v>404</v>
      </c>
      <c r="E127" t="s">
        <v>409</v>
      </c>
      <c r="F127" s="8" t="s">
        <v>457</v>
      </c>
      <c r="H127" t="s">
        <v>225</v>
      </c>
      <c r="I127" t="s">
        <v>225</v>
      </c>
      <c r="J127" t="s">
        <v>318</v>
      </c>
      <c r="K127" t="s">
        <v>225</v>
      </c>
      <c r="L127" t="s">
        <v>225</v>
      </c>
      <c r="M127" t="s">
        <v>389</v>
      </c>
      <c r="N127" t="s">
        <v>389</v>
      </c>
      <c r="O127" t="s">
        <v>717</v>
      </c>
      <c r="P127" t="s">
        <v>77</v>
      </c>
    </row>
    <row r="128" spans="1:16" x14ac:dyDescent="0.25">
      <c r="A128" s="9" t="s">
        <v>772</v>
      </c>
      <c r="B128" s="9" t="str">
        <f t="shared" si="1"/>
        <v>PTC5045 - Fechando o sistema de limpeza</v>
      </c>
      <c r="D128" t="s">
        <v>404</v>
      </c>
      <c r="E128" t="s">
        <v>409</v>
      </c>
      <c r="F128" s="8" t="s">
        <v>458</v>
      </c>
      <c r="O128" t="s">
        <v>718</v>
      </c>
      <c r="P128" t="s">
        <v>402</v>
      </c>
    </row>
    <row r="129" spans="1:16" x14ac:dyDescent="0.25">
      <c r="A129" s="9" t="s">
        <v>773</v>
      </c>
      <c r="B129" s="9" t="str">
        <f t="shared" si="1"/>
        <v>PTC5046 - Fechando a medição de consumo</v>
      </c>
      <c r="D129" t="s">
        <v>404</v>
      </c>
      <c r="E129" t="s">
        <v>409</v>
      </c>
      <c r="F129" s="8" t="s">
        <v>459</v>
      </c>
      <c r="O129" t="s">
        <v>719</v>
      </c>
      <c r="P129" t="s">
        <v>403</v>
      </c>
    </row>
    <row r="130" spans="1:16" x14ac:dyDescent="0.25">
      <c r="A130" t="s">
        <v>570</v>
      </c>
      <c r="B130" t="str">
        <f t="shared" si="1"/>
        <v>PTC5047 - Processar posteriormente a máquina</v>
      </c>
      <c r="D130" t="s">
        <v>404</v>
      </c>
      <c r="E130" t="s">
        <v>409</v>
      </c>
      <c r="F130" s="8" t="s">
        <v>460</v>
      </c>
      <c r="H130" t="s">
        <v>226</v>
      </c>
      <c r="I130" t="s">
        <v>226</v>
      </c>
      <c r="J130" t="s">
        <v>319</v>
      </c>
      <c r="K130" t="s">
        <v>226</v>
      </c>
      <c r="L130" t="s">
        <v>226</v>
      </c>
      <c r="M130" t="s">
        <v>319</v>
      </c>
      <c r="N130" t="s">
        <v>319</v>
      </c>
      <c r="O130" t="s">
        <v>720</v>
      </c>
      <c r="P130" t="s">
        <v>78</v>
      </c>
    </row>
    <row r="131" spans="1:16" x14ac:dyDescent="0.25">
      <c r="A131" s="9" t="s">
        <v>791</v>
      </c>
      <c r="B131" s="9" t="str">
        <f t="shared" ref="B131:B194" si="2">IF(H131="",IF(I131="",IF(J131="",IF(K131="",IF(L131="",IF(M131="",IF(N131="",IF(O131="","",_xlfn.CONCAT(D131,E131,F131," - ",O131)),_xlfn.CONCAT(D131,E131,F131," - ",N131)),_xlfn.CONCAT(D131,E131,F131," - ",M131)),_xlfn.CONCAT(D131,E131,F131," - ",L131)),_xlfn.CONCAT(D131,E131,F131," - ",K131)),_xlfn.CONCAT(D131,E131,F131," - ",J131)),_xlfn.CONCAT(D131,E131,F131," - ",I131)),_xlfn.CONCAT(D131,E131,F131," - ",H131))</f>
        <v>PTC5048 - Desligar o gravador de dados</v>
      </c>
      <c r="D131" t="s">
        <v>404</v>
      </c>
      <c r="E131" t="s">
        <v>409</v>
      </c>
      <c r="F131" s="8" t="s">
        <v>461</v>
      </c>
      <c r="O131" t="s">
        <v>721</v>
      </c>
      <c r="P131" t="s">
        <v>79</v>
      </c>
    </row>
    <row r="132" spans="1:16" x14ac:dyDescent="0.25">
      <c r="A132" t="s">
        <v>571</v>
      </c>
      <c r="B132" t="str">
        <f t="shared" si="2"/>
        <v>PTC5049 - Desligar a tensão de comando</v>
      </c>
      <c r="D132" t="s">
        <v>404</v>
      </c>
      <c r="E132" t="s">
        <v>409</v>
      </c>
      <c r="F132" s="8" t="s">
        <v>462</v>
      </c>
      <c r="H132" t="s">
        <v>227</v>
      </c>
      <c r="I132" t="s">
        <v>227</v>
      </c>
      <c r="J132" t="s">
        <v>320</v>
      </c>
      <c r="K132" t="s">
        <v>227</v>
      </c>
      <c r="L132" t="s">
        <v>227</v>
      </c>
      <c r="M132" t="s">
        <v>320</v>
      </c>
      <c r="N132" t="s">
        <v>320</v>
      </c>
      <c r="O132" t="s">
        <v>722</v>
      </c>
      <c r="P132" t="s">
        <v>80</v>
      </c>
    </row>
    <row r="133" spans="1:16" x14ac:dyDescent="0.25">
      <c r="A133" t="s">
        <v>572</v>
      </c>
      <c r="B133" t="str">
        <f t="shared" si="2"/>
        <v>PTC5050 - Desligar a alimentação de tensão</v>
      </c>
      <c r="D133" t="s">
        <v>404</v>
      </c>
      <c r="E133" t="s">
        <v>409</v>
      </c>
      <c r="F133" s="8" t="s">
        <v>463</v>
      </c>
      <c r="H133" t="s">
        <v>228</v>
      </c>
      <c r="I133" t="s">
        <v>228</v>
      </c>
      <c r="J133" t="s">
        <v>228</v>
      </c>
      <c r="K133" t="s">
        <v>228</v>
      </c>
      <c r="L133" t="s">
        <v>228</v>
      </c>
      <c r="M133" t="s">
        <v>228</v>
      </c>
      <c r="N133" t="s">
        <v>228</v>
      </c>
      <c r="O133" t="s">
        <v>723</v>
      </c>
      <c r="P133" t="s">
        <v>81</v>
      </c>
    </row>
    <row r="134" spans="1:16" x14ac:dyDescent="0.25">
      <c r="A134" t="s">
        <v>573</v>
      </c>
      <c r="B134" t="str">
        <f t="shared" si="2"/>
        <v>PTC5051 - Fechar a alimentação de ar de controle</v>
      </c>
      <c r="D134" t="s">
        <v>404</v>
      </c>
      <c r="E134" t="s">
        <v>409</v>
      </c>
      <c r="F134" s="8" t="s">
        <v>464</v>
      </c>
      <c r="H134" t="s">
        <v>229</v>
      </c>
      <c r="I134" t="s">
        <v>229</v>
      </c>
      <c r="J134" t="s">
        <v>321</v>
      </c>
      <c r="K134" t="s">
        <v>229</v>
      </c>
      <c r="L134" t="s">
        <v>369</v>
      </c>
      <c r="M134" t="s">
        <v>390</v>
      </c>
      <c r="N134" t="s">
        <v>390</v>
      </c>
      <c r="O134" t="s">
        <v>724</v>
      </c>
      <c r="P134" t="s">
        <v>82</v>
      </c>
    </row>
    <row r="135" spans="1:16" x14ac:dyDescent="0.25">
      <c r="A135" t="s">
        <v>574</v>
      </c>
      <c r="B135" t="str">
        <f t="shared" si="2"/>
        <v>PTC6 - Manutenção</v>
      </c>
      <c r="D135" t="s">
        <v>404</v>
      </c>
      <c r="E135" t="s">
        <v>410</v>
      </c>
      <c r="H135" s="2" t="s">
        <v>230</v>
      </c>
      <c r="I135" s="2" t="s">
        <v>230</v>
      </c>
      <c r="J135" s="2" t="s">
        <v>322</v>
      </c>
      <c r="K135" s="2" t="s">
        <v>230</v>
      </c>
      <c r="L135" s="2" t="s">
        <v>230</v>
      </c>
      <c r="M135" s="2" t="s">
        <v>322</v>
      </c>
      <c r="N135" s="2" t="s">
        <v>322</v>
      </c>
      <c r="O135" t="s">
        <v>725</v>
      </c>
      <c r="P135" t="s">
        <v>83</v>
      </c>
    </row>
    <row r="136" spans="1:16" x14ac:dyDescent="0.25">
      <c r="A136" t="s">
        <v>575</v>
      </c>
      <c r="B136" t="str">
        <f t="shared" si="2"/>
        <v>PTC6001 - Observar as normas</v>
      </c>
      <c r="D136" t="s">
        <v>404</v>
      </c>
      <c r="E136" t="s">
        <v>410</v>
      </c>
      <c r="F136" s="8" t="s">
        <v>414</v>
      </c>
      <c r="H136" t="s">
        <v>231</v>
      </c>
      <c r="I136" t="s">
        <v>231</v>
      </c>
      <c r="J136" t="s">
        <v>231</v>
      </c>
      <c r="K136" t="s">
        <v>231</v>
      </c>
      <c r="L136" t="s">
        <v>231</v>
      </c>
      <c r="M136" t="s">
        <v>231</v>
      </c>
      <c r="N136" t="s">
        <v>231</v>
      </c>
      <c r="O136" t="s">
        <v>726</v>
      </c>
      <c r="P136" t="s">
        <v>84</v>
      </c>
    </row>
    <row r="137" spans="1:16" x14ac:dyDescent="0.25">
      <c r="A137" t="s">
        <v>576</v>
      </c>
      <c r="B137" t="str">
        <f t="shared" si="2"/>
        <v>PTC6002 - Desconectar e proteger</v>
      </c>
      <c r="D137" t="s">
        <v>404</v>
      </c>
      <c r="E137" t="s">
        <v>410</v>
      </c>
      <c r="F137" s="8" t="s">
        <v>415</v>
      </c>
      <c r="H137" t="s">
        <v>232</v>
      </c>
      <c r="I137" t="s">
        <v>349</v>
      </c>
      <c r="J137" t="s">
        <v>323</v>
      </c>
      <c r="K137" t="s">
        <v>349</v>
      </c>
      <c r="L137" t="s">
        <v>349</v>
      </c>
      <c r="M137" t="s">
        <v>391</v>
      </c>
      <c r="N137" t="s">
        <v>391</v>
      </c>
      <c r="O137" t="s">
        <v>727</v>
      </c>
      <c r="P137" t="s">
        <v>85</v>
      </c>
    </row>
    <row r="138" spans="1:16" x14ac:dyDescent="0.25">
      <c r="A138" t="s">
        <v>577</v>
      </c>
      <c r="B138" t="str">
        <f t="shared" si="2"/>
        <v>PTC6003 - Esvaziar máquina</v>
      </c>
      <c r="D138" t="s">
        <v>404</v>
      </c>
      <c r="E138" t="s">
        <v>410</v>
      </c>
      <c r="F138" s="8" t="s">
        <v>416</v>
      </c>
      <c r="H138" t="s">
        <v>233</v>
      </c>
      <c r="I138" t="s">
        <v>324</v>
      </c>
      <c r="J138" t="s">
        <v>324</v>
      </c>
      <c r="K138" t="s">
        <v>324</v>
      </c>
      <c r="L138" t="s">
        <v>370</v>
      </c>
      <c r="M138" t="s">
        <v>324</v>
      </c>
      <c r="N138" t="s">
        <v>324</v>
      </c>
      <c r="O138" t="s">
        <v>728</v>
      </c>
      <c r="P138" t="s">
        <v>86</v>
      </c>
    </row>
    <row r="139" spans="1:16" x14ac:dyDescent="0.25">
      <c r="A139" s="9" t="s">
        <v>792</v>
      </c>
      <c r="B139" s="9" t="str">
        <f t="shared" si="2"/>
        <v>PTC6004 - Esvaziamento áreas seguras</v>
      </c>
      <c r="D139" t="s">
        <v>404</v>
      </c>
      <c r="E139" t="s">
        <v>410</v>
      </c>
      <c r="F139" s="8" t="s">
        <v>417</v>
      </c>
      <c r="O139" t="s">
        <v>729</v>
      </c>
      <c r="P139" t="s">
        <v>378</v>
      </c>
    </row>
    <row r="140" spans="1:16" x14ac:dyDescent="0.25">
      <c r="A140" t="s">
        <v>578</v>
      </c>
      <c r="B140" t="str">
        <f t="shared" si="2"/>
        <v>PTC6005 - Encher a máquina com água</v>
      </c>
      <c r="D140" t="s">
        <v>404</v>
      </c>
      <c r="E140" t="s">
        <v>410</v>
      </c>
      <c r="F140" s="8" t="s">
        <v>418</v>
      </c>
      <c r="H140" t="s">
        <v>234</v>
      </c>
      <c r="I140" t="s">
        <v>234</v>
      </c>
      <c r="J140" t="s">
        <v>325</v>
      </c>
      <c r="K140" t="s">
        <v>234</v>
      </c>
      <c r="L140" t="s">
        <v>234</v>
      </c>
      <c r="M140" t="s">
        <v>325</v>
      </c>
      <c r="N140" t="s">
        <v>325</v>
      </c>
      <c r="O140" t="s">
        <v>234</v>
      </c>
      <c r="P140" t="s">
        <v>87</v>
      </c>
    </row>
    <row r="141" spans="1:16" x14ac:dyDescent="0.25">
      <c r="A141" t="s">
        <v>579</v>
      </c>
      <c r="B141" t="str">
        <f t="shared" si="2"/>
        <v>PTC6006 - Manutenção preventiva</v>
      </c>
      <c r="D141" t="s">
        <v>404</v>
      </c>
      <c r="E141" t="s">
        <v>410</v>
      </c>
      <c r="F141" s="8" t="s">
        <v>419</v>
      </c>
      <c r="H141" t="s">
        <v>235</v>
      </c>
      <c r="I141" t="s">
        <v>235</v>
      </c>
      <c r="J141" t="s">
        <v>230</v>
      </c>
      <c r="K141" t="s">
        <v>235</v>
      </c>
      <c r="L141" t="s">
        <v>235</v>
      </c>
      <c r="M141" t="s">
        <v>230</v>
      </c>
      <c r="N141" t="s">
        <v>230</v>
      </c>
      <c r="O141" t="s">
        <v>230</v>
      </c>
      <c r="P141" t="s">
        <v>88</v>
      </c>
    </row>
    <row r="142" spans="1:16" x14ac:dyDescent="0.25">
      <c r="A142" t="s">
        <v>580</v>
      </c>
      <c r="B142" t="str">
        <f t="shared" si="2"/>
        <v>PTC6007 - Avisos de segurança</v>
      </c>
      <c r="D142" t="s">
        <v>404</v>
      </c>
      <c r="E142" t="s">
        <v>410</v>
      </c>
      <c r="F142" s="8" t="s">
        <v>420</v>
      </c>
      <c r="H142" t="s">
        <v>199</v>
      </c>
      <c r="I142" t="s">
        <v>199</v>
      </c>
      <c r="J142" t="s">
        <v>304</v>
      </c>
      <c r="K142" t="s">
        <v>199</v>
      </c>
      <c r="L142" t="s">
        <v>199</v>
      </c>
      <c r="M142" t="s">
        <v>304</v>
      </c>
      <c r="N142" t="s">
        <v>304</v>
      </c>
      <c r="O142" t="s">
        <v>683</v>
      </c>
      <c r="P142" t="s">
        <v>48</v>
      </c>
    </row>
    <row r="143" spans="1:16" x14ac:dyDescent="0.25">
      <c r="A143" t="s">
        <v>581</v>
      </c>
      <c r="B143" t="str">
        <f t="shared" si="2"/>
        <v>PTC6008 - Instruções sobre as práticas de manutenção preventiva</v>
      </c>
      <c r="D143" t="s">
        <v>404</v>
      </c>
      <c r="E143" t="s">
        <v>410</v>
      </c>
      <c r="F143" s="8" t="s">
        <v>421</v>
      </c>
      <c r="H143" t="s">
        <v>236</v>
      </c>
      <c r="I143" t="s">
        <v>236</v>
      </c>
      <c r="J143" t="s">
        <v>326</v>
      </c>
      <c r="K143" t="s">
        <v>236</v>
      </c>
      <c r="L143" t="s">
        <v>236</v>
      </c>
      <c r="M143" t="s">
        <v>326</v>
      </c>
      <c r="N143" t="s">
        <v>326</v>
      </c>
      <c r="O143" t="s">
        <v>730</v>
      </c>
      <c r="P143" t="s">
        <v>89</v>
      </c>
    </row>
    <row r="144" spans="1:16" x14ac:dyDescent="0.25">
      <c r="A144" t="s">
        <v>582</v>
      </c>
      <c r="B144" t="str">
        <f t="shared" si="2"/>
        <v>PTC6009 - Condições prévias</v>
      </c>
      <c r="D144" t="s">
        <v>404</v>
      </c>
      <c r="E144" t="s">
        <v>410</v>
      </c>
      <c r="F144" s="8" t="s">
        <v>422</v>
      </c>
      <c r="H144" t="s">
        <v>237</v>
      </c>
      <c r="I144" t="s">
        <v>237</v>
      </c>
      <c r="J144" t="s">
        <v>237</v>
      </c>
      <c r="K144" t="s">
        <v>237</v>
      </c>
      <c r="L144" t="s">
        <v>237</v>
      </c>
      <c r="M144" t="s">
        <v>237</v>
      </c>
      <c r="N144" t="s">
        <v>237</v>
      </c>
      <c r="O144" t="s">
        <v>731</v>
      </c>
      <c r="P144" t="s">
        <v>90</v>
      </c>
    </row>
    <row r="145" spans="1:16" x14ac:dyDescent="0.25">
      <c r="A145" t="s">
        <v>583</v>
      </c>
      <c r="B145" t="str">
        <f t="shared" si="2"/>
        <v>PTC6010 - Preparar</v>
      </c>
      <c r="D145" t="s">
        <v>404</v>
      </c>
      <c r="E145" t="s">
        <v>410</v>
      </c>
      <c r="F145" s="8" t="s">
        <v>423</v>
      </c>
      <c r="H145" t="s">
        <v>221</v>
      </c>
      <c r="J145" t="s">
        <v>221</v>
      </c>
      <c r="O145" t="s">
        <v>221</v>
      </c>
      <c r="P145" t="s">
        <v>221</v>
      </c>
    </row>
    <row r="146" spans="1:16" x14ac:dyDescent="0.25">
      <c r="A146" t="s">
        <v>584</v>
      </c>
      <c r="B146" t="str">
        <f t="shared" si="2"/>
        <v>PTC6011 - Plano de manutenção preventiva</v>
      </c>
      <c r="D146" t="s">
        <v>404</v>
      </c>
      <c r="E146" t="s">
        <v>410</v>
      </c>
      <c r="F146" s="8" t="s">
        <v>424</v>
      </c>
      <c r="H146" t="s">
        <v>238</v>
      </c>
      <c r="I146" t="s">
        <v>238</v>
      </c>
      <c r="J146" t="s">
        <v>327</v>
      </c>
      <c r="K146" t="s">
        <v>238</v>
      </c>
      <c r="L146" t="s">
        <v>238</v>
      </c>
      <c r="M146" t="s">
        <v>327</v>
      </c>
      <c r="N146" t="s">
        <v>327</v>
      </c>
      <c r="O146" t="s">
        <v>732</v>
      </c>
      <c r="P146" t="s">
        <v>91</v>
      </c>
    </row>
    <row r="147" spans="1:16" x14ac:dyDescent="0.25">
      <c r="A147" t="s">
        <v>585</v>
      </c>
      <c r="B147" t="str">
        <f t="shared" si="2"/>
        <v>PTC6012 - Verificar o funcionamento interruptor de parada de emergência</v>
      </c>
      <c r="D147" t="s">
        <v>404</v>
      </c>
      <c r="E147" t="s">
        <v>410</v>
      </c>
      <c r="F147" s="8" t="s">
        <v>425</v>
      </c>
      <c r="H147" t="s">
        <v>239</v>
      </c>
      <c r="I147" t="s">
        <v>239</v>
      </c>
      <c r="J147" t="s">
        <v>328</v>
      </c>
      <c r="K147" t="s">
        <v>239</v>
      </c>
      <c r="L147" t="s">
        <v>371</v>
      </c>
      <c r="M147" t="s">
        <v>328</v>
      </c>
      <c r="N147" t="s">
        <v>328</v>
      </c>
      <c r="O147" t="s">
        <v>328</v>
      </c>
      <c r="P147" t="s">
        <v>92</v>
      </c>
    </row>
    <row r="148" spans="1:16" x14ac:dyDescent="0.25">
      <c r="A148" t="s">
        <v>586</v>
      </c>
      <c r="B148" t="str">
        <f t="shared" si="2"/>
        <v>PTC6013 - Fazer a manutenção do recipiente pressurizado</v>
      </c>
      <c r="D148" t="s">
        <v>404</v>
      </c>
      <c r="E148" t="s">
        <v>410</v>
      </c>
      <c r="F148" s="8" t="s">
        <v>426</v>
      </c>
      <c r="J148" t="s">
        <v>329</v>
      </c>
      <c r="L148" t="s">
        <v>372</v>
      </c>
      <c r="O148" t="s">
        <v>733</v>
      </c>
      <c r="P148" t="s">
        <v>93</v>
      </c>
    </row>
    <row r="149" spans="1:16" x14ac:dyDescent="0.25">
      <c r="A149" t="s">
        <v>587</v>
      </c>
      <c r="B149" t="str">
        <f t="shared" si="2"/>
        <v>PTC6014 - Executar teste de lâmpadas</v>
      </c>
      <c r="D149" t="s">
        <v>404</v>
      </c>
      <c r="E149" t="s">
        <v>410</v>
      </c>
      <c r="F149" s="8" t="s">
        <v>427</v>
      </c>
      <c r="H149" t="s">
        <v>240</v>
      </c>
      <c r="I149" t="s">
        <v>240</v>
      </c>
      <c r="J149" t="s">
        <v>330</v>
      </c>
      <c r="K149" t="s">
        <v>240</v>
      </c>
      <c r="L149" t="s">
        <v>240</v>
      </c>
      <c r="M149" t="s">
        <v>330</v>
      </c>
      <c r="N149" t="s">
        <v>330</v>
      </c>
      <c r="O149" t="s">
        <v>734</v>
      </c>
      <c r="P149" t="s">
        <v>94</v>
      </c>
    </row>
    <row r="150" spans="1:16" x14ac:dyDescent="0.25">
      <c r="A150" s="9" t="s">
        <v>793</v>
      </c>
      <c r="B150" s="9" t="str">
        <f t="shared" si="2"/>
        <v>PTC6015 - Mantendo a sujeira recolha de filtro na alimentação primária</v>
      </c>
      <c r="D150" t="s">
        <v>404</v>
      </c>
      <c r="E150" t="s">
        <v>410</v>
      </c>
      <c r="F150" s="8" t="s">
        <v>428</v>
      </c>
      <c r="O150" t="s">
        <v>735</v>
      </c>
      <c r="P150" t="s">
        <v>379</v>
      </c>
    </row>
    <row r="151" spans="1:16" x14ac:dyDescent="0.25">
      <c r="A151" s="9" t="s">
        <v>794</v>
      </c>
      <c r="B151" s="9" t="str">
        <f t="shared" si="2"/>
        <v>PTC6016 - Manutenção da sujidade recolha de filtro no retorno</v>
      </c>
      <c r="D151" t="s">
        <v>404</v>
      </c>
      <c r="E151" t="s">
        <v>410</v>
      </c>
      <c r="F151" s="8" t="s">
        <v>429</v>
      </c>
      <c r="O151" t="s">
        <v>736</v>
      </c>
      <c r="P151" t="s">
        <v>380</v>
      </c>
    </row>
    <row r="152" spans="1:16" x14ac:dyDescent="0.25">
      <c r="A152" t="s">
        <v>588</v>
      </c>
      <c r="B152" t="str">
        <f t="shared" si="2"/>
        <v>PTC6017 - Vistoriar as vedações</v>
      </c>
      <c r="D152" t="s">
        <v>404</v>
      </c>
      <c r="E152" t="s">
        <v>410</v>
      </c>
      <c r="F152" s="8" t="s">
        <v>430</v>
      </c>
      <c r="H152" t="s">
        <v>241</v>
      </c>
      <c r="I152" t="s">
        <v>241</v>
      </c>
      <c r="J152" t="s">
        <v>331</v>
      </c>
      <c r="K152" t="s">
        <v>241</v>
      </c>
      <c r="L152" t="s">
        <v>241</v>
      </c>
      <c r="M152" t="s">
        <v>331</v>
      </c>
      <c r="N152" t="s">
        <v>331</v>
      </c>
      <c r="O152" t="s">
        <v>737</v>
      </c>
      <c r="P152" t="s">
        <v>95</v>
      </c>
    </row>
    <row r="153" spans="1:16" x14ac:dyDescent="0.25">
      <c r="A153" t="s">
        <v>589</v>
      </c>
      <c r="B153" t="str">
        <f t="shared" si="2"/>
        <v>PTC6018 - Apertar as uniões roscadas da tubulação de leite</v>
      </c>
      <c r="D153" t="s">
        <v>404</v>
      </c>
      <c r="E153" t="s">
        <v>410</v>
      </c>
      <c r="F153" s="8" t="s">
        <v>431</v>
      </c>
      <c r="H153" t="s">
        <v>242</v>
      </c>
      <c r="I153" t="s">
        <v>242</v>
      </c>
      <c r="J153" t="s">
        <v>332</v>
      </c>
      <c r="K153" t="s">
        <v>242</v>
      </c>
      <c r="L153" t="s">
        <v>242</v>
      </c>
      <c r="M153" t="s">
        <v>392</v>
      </c>
      <c r="N153" t="s">
        <v>392</v>
      </c>
      <c r="O153" t="s">
        <v>738</v>
      </c>
      <c r="P153" t="s">
        <v>96</v>
      </c>
    </row>
    <row r="154" spans="1:16" x14ac:dyDescent="0.25">
      <c r="A154" t="s">
        <v>590</v>
      </c>
      <c r="B154" t="str">
        <f t="shared" si="2"/>
        <v>PTC6019 - Manutenção de peças adquiridas</v>
      </c>
      <c r="D154" t="s">
        <v>404</v>
      </c>
      <c r="E154" t="s">
        <v>410</v>
      </c>
      <c r="F154" s="8" t="s">
        <v>432</v>
      </c>
      <c r="H154" t="s">
        <v>243</v>
      </c>
      <c r="I154" t="s">
        <v>243</v>
      </c>
      <c r="J154" t="s">
        <v>333</v>
      </c>
      <c r="K154" t="s">
        <v>243</v>
      </c>
      <c r="L154" t="s">
        <v>243</v>
      </c>
      <c r="M154" t="s">
        <v>333</v>
      </c>
      <c r="N154" t="s">
        <v>333</v>
      </c>
      <c r="O154" t="s">
        <v>739</v>
      </c>
      <c r="P154" t="s">
        <v>97</v>
      </c>
    </row>
    <row r="155" spans="1:16" x14ac:dyDescent="0.25">
      <c r="A155" t="s">
        <v>591</v>
      </c>
      <c r="B155" t="str">
        <f t="shared" si="2"/>
        <v>PTC6020 - Limpar superfícies</v>
      </c>
      <c r="D155" t="s">
        <v>404</v>
      </c>
      <c r="E155" t="s">
        <v>410</v>
      </c>
      <c r="F155" s="8" t="s">
        <v>433</v>
      </c>
      <c r="H155" t="s">
        <v>244</v>
      </c>
      <c r="I155" t="s">
        <v>244</v>
      </c>
      <c r="J155" t="s">
        <v>244</v>
      </c>
      <c r="K155" t="s">
        <v>244</v>
      </c>
      <c r="L155" t="s">
        <v>244</v>
      </c>
      <c r="M155" t="s">
        <v>244</v>
      </c>
      <c r="N155" t="s">
        <v>244</v>
      </c>
      <c r="O155" t="s">
        <v>740</v>
      </c>
      <c r="P155" t="s">
        <v>98</v>
      </c>
    </row>
    <row r="156" spans="1:16" x14ac:dyDescent="0.25">
      <c r="A156" t="s">
        <v>592</v>
      </c>
      <c r="B156" t="str">
        <f t="shared" si="2"/>
        <v>PTC6021 - Reparo</v>
      </c>
      <c r="D156" t="s">
        <v>404</v>
      </c>
      <c r="E156" t="s">
        <v>410</v>
      </c>
      <c r="F156" s="8" t="s">
        <v>434</v>
      </c>
      <c r="H156" t="s">
        <v>245</v>
      </c>
      <c r="I156" t="s">
        <v>245</v>
      </c>
      <c r="J156" t="s">
        <v>334</v>
      </c>
      <c r="K156" t="s">
        <v>245</v>
      </c>
      <c r="L156" t="s">
        <v>245</v>
      </c>
      <c r="M156" t="s">
        <v>334</v>
      </c>
      <c r="N156" t="s">
        <v>334</v>
      </c>
      <c r="O156" t="s">
        <v>741</v>
      </c>
      <c r="P156" t="s">
        <v>99</v>
      </c>
    </row>
    <row r="157" spans="1:16" x14ac:dyDescent="0.25">
      <c r="A157" t="s">
        <v>593</v>
      </c>
      <c r="B157" t="str">
        <f t="shared" si="2"/>
        <v>PTC7 - Falhas</v>
      </c>
      <c r="D157" t="s">
        <v>404</v>
      </c>
      <c r="E157" t="s">
        <v>411</v>
      </c>
      <c r="H157" s="2" t="s">
        <v>246</v>
      </c>
      <c r="I157" s="2" t="s">
        <v>246</v>
      </c>
      <c r="J157" s="2" t="s">
        <v>335</v>
      </c>
      <c r="K157" s="2" t="s">
        <v>246</v>
      </c>
      <c r="L157" s="2" t="s">
        <v>246</v>
      </c>
      <c r="M157" s="2" t="s">
        <v>335</v>
      </c>
      <c r="N157" s="2" t="s">
        <v>335</v>
      </c>
      <c r="O157" t="s">
        <v>742</v>
      </c>
      <c r="P157" t="s">
        <v>100</v>
      </c>
    </row>
    <row r="158" spans="1:16" x14ac:dyDescent="0.25">
      <c r="A158" t="s">
        <v>594</v>
      </c>
      <c r="B158" t="str">
        <f t="shared" si="2"/>
        <v>PTC7001 - Avisos de segurança</v>
      </c>
      <c r="D158" t="s">
        <v>404</v>
      </c>
      <c r="E158" t="s">
        <v>411</v>
      </c>
      <c r="F158" s="8" t="s">
        <v>414</v>
      </c>
      <c r="H158" t="s">
        <v>199</v>
      </c>
      <c r="I158" t="s">
        <v>199</v>
      </c>
      <c r="J158" t="s">
        <v>304</v>
      </c>
      <c r="K158" t="s">
        <v>199</v>
      </c>
      <c r="L158" t="s">
        <v>199</v>
      </c>
      <c r="M158" t="s">
        <v>304</v>
      </c>
      <c r="N158" t="s">
        <v>304</v>
      </c>
      <c r="O158" t="s">
        <v>683</v>
      </c>
      <c r="P158" t="s">
        <v>48</v>
      </c>
    </row>
    <row r="159" spans="1:16" x14ac:dyDescent="0.25">
      <c r="A159" t="s">
        <v>595</v>
      </c>
      <c r="B159" t="str">
        <f t="shared" si="2"/>
        <v>PTC7002 - Detectar</v>
      </c>
      <c r="D159" t="s">
        <v>404</v>
      </c>
      <c r="E159" t="s">
        <v>411</v>
      </c>
      <c r="F159" s="8" t="s">
        <v>415</v>
      </c>
      <c r="H159" t="s">
        <v>247</v>
      </c>
      <c r="I159" t="s">
        <v>247</v>
      </c>
      <c r="J159" t="s">
        <v>336</v>
      </c>
      <c r="K159" t="s">
        <v>247</v>
      </c>
      <c r="L159" t="s">
        <v>247</v>
      </c>
      <c r="M159" t="s">
        <v>336</v>
      </c>
      <c r="N159" t="s">
        <v>336</v>
      </c>
      <c r="O159" t="s">
        <v>743</v>
      </c>
      <c r="P159" t="s">
        <v>101</v>
      </c>
    </row>
    <row r="160" spans="1:16" x14ac:dyDescent="0.25">
      <c r="A160" t="s">
        <v>596</v>
      </c>
      <c r="B160" t="str">
        <f t="shared" si="2"/>
        <v>PTC7003 - Eliminar</v>
      </c>
      <c r="D160" t="s">
        <v>404</v>
      </c>
      <c r="E160" t="s">
        <v>411</v>
      </c>
      <c r="F160" s="8" t="s">
        <v>416</v>
      </c>
      <c r="H160" t="s">
        <v>248</v>
      </c>
      <c r="I160" t="s">
        <v>248</v>
      </c>
      <c r="J160" t="s">
        <v>248</v>
      </c>
      <c r="K160" t="s">
        <v>248</v>
      </c>
      <c r="L160" t="s">
        <v>248</v>
      </c>
      <c r="M160" t="s">
        <v>248</v>
      </c>
      <c r="N160" t="s">
        <v>248</v>
      </c>
      <c r="O160" t="s">
        <v>744</v>
      </c>
      <c r="P160" t="s">
        <v>102</v>
      </c>
    </row>
    <row r="161" spans="1:16" x14ac:dyDescent="0.25">
      <c r="A161" t="s">
        <v>597</v>
      </c>
      <c r="B161" t="str">
        <f t="shared" si="2"/>
        <v>PTC8 - Dados técnicos</v>
      </c>
      <c r="D161" t="s">
        <v>404</v>
      </c>
      <c r="E161" t="s">
        <v>412</v>
      </c>
      <c r="H161" s="2" t="s">
        <v>249</v>
      </c>
      <c r="I161" s="2" t="s">
        <v>249</v>
      </c>
      <c r="J161" s="2" t="s">
        <v>249</v>
      </c>
      <c r="K161" s="2" t="s">
        <v>249</v>
      </c>
      <c r="L161" s="2" t="s">
        <v>249</v>
      </c>
      <c r="M161" s="2" t="s">
        <v>249</v>
      </c>
      <c r="N161" s="2" t="s">
        <v>249</v>
      </c>
      <c r="O161" t="s">
        <v>249</v>
      </c>
      <c r="P161" t="s">
        <v>103</v>
      </c>
    </row>
    <row r="162" spans="1:16" x14ac:dyDescent="0.25">
      <c r="A162" t="s">
        <v>598</v>
      </c>
      <c r="B162" t="str">
        <f t="shared" si="2"/>
        <v>PTC8001 - Condições ambientais</v>
      </c>
      <c r="D162" t="s">
        <v>404</v>
      </c>
      <c r="E162" t="s">
        <v>412</v>
      </c>
      <c r="F162" s="8" t="s">
        <v>414</v>
      </c>
      <c r="H162" t="s">
        <v>250</v>
      </c>
      <c r="I162" t="s">
        <v>250</v>
      </c>
      <c r="J162" t="s">
        <v>337</v>
      </c>
      <c r="K162" t="s">
        <v>250</v>
      </c>
      <c r="L162" t="s">
        <v>250</v>
      </c>
      <c r="M162" t="s">
        <v>337</v>
      </c>
      <c r="N162" t="s">
        <v>337</v>
      </c>
      <c r="O162" t="s">
        <v>745</v>
      </c>
      <c r="P162" t="s">
        <v>104</v>
      </c>
    </row>
    <row r="163" spans="1:16" x14ac:dyDescent="0.25">
      <c r="A163" t="s">
        <v>599</v>
      </c>
      <c r="B163" t="str">
        <f t="shared" si="2"/>
        <v>PTC8002 - Requisitos para fluidos</v>
      </c>
      <c r="D163" t="s">
        <v>404</v>
      </c>
      <c r="E163" t="s">
        <v>412</v>
      </c>
      <c r="F163" s="8" t="s">
        <v>415</v>
      </c>
      <c r="H163" t="s">
        <v>251</v>
      </c>
      <c r="I163" t="s">
        <v>251</v>
      </c>
      <c r="J163" t="s">
        <v>251</v>
      </c>
      <c r="K163" t="s">
        <v>251</v>
      </c>
      <c r="L163" t="s">
        <v>251</v>
      </c>
      <c r="M163" t="s">
        <v>251</v>
      </c>
      <c r="N163" t="s">
        <v>251</v>
      </c>
      <c r="O163" t="s">
        <v>746</v>
      </c>
      <c r="P163" t="s">
        <v>105</v>
      </c>
    </row>
    <row r="164" spans="1:16" x14ac:dyDescent="0.25">
      <c r="A164" s="9" t="s">
        <v>774</v>
      </c>
      <c r="B164" s="9" t="str">
        <f t="shared" si="2"/>
        <v>PTC8003 - Energia elétrica</v>
      </c>
      <c r="D164" t="s">
        <v>404</v>
      </c>
      <c r="E164" t="s">
        <v>412</v>
      </c>
      <c r="F164" s="8" t="s">
        <v>416</v>
      </c>
      <c r="O164" t="s">
        <v>747</v>
      </c>
      <c r="P164" t="s">
        <v>144</v>
      </c>
    </row>
    <row r="165" spans="1:16" x14ac:dyDescent="0.25">
      <c r="A165" s="9" t="s">
        <v>775</v>
      </c>
      <c r="B165" s="9" t="str">
        <f t="shared" si="2"/>
        <v>PTC8004 - Operação</v>
      </c>
      <c r="D165" t="s">
        <v>404</v>
      </c>
      <c r="E165" t="s">
        <v>412</v>
      </c>
      <c r="F165" s="8" t="s">
        <v>417</v>
      </c>
      <c r="O165" t="s">
        <v>208</v>
      </c>
      <c r="P165" t="s">
        <v>57</v>
      </c>
    </row>
    <row r="166" spans="1:16" x14ac:dyDescent="0.25">
      <c r="A166" s="9" t="s">
        <v>795</v>
      </c>
      <c r="B166" s="9" t="str">
        <f t="shared" si="2"/>
        <v>PTC8005 - especificações da máquina</v>
      </c>
      <c r="D166" t="s">
        <v>404</v>
      </c>
      <c r="E166" t="s">
        <v>412</v>
      </c>
      <c r="F166" s="8" t="s">
        <v>418</v>
      </c>
      <c r="O166" t="s">
        <v>748</v>
      </c>
      <c r="P166" t="s">
        <v>114</v>
      </c>
    </row>
    <row r="167" spans="1:16" x14ac:dyDescent="0.25">
      <c r="A167" s="9" t="s">
        <v>796</v>
      </c>
      <c r="B167" s="9" t="str">
        <f t="shared" si="2"/>
        <v>PTC8006 - dados de abastecimento</v>
      </c>
      <c r="D167" t="s">
        <v>404</v>
      </c>
      <c r="E167" t="s">
        <v>412</v>
      </c>
      <c r="F167" s="8" t="s">
        <v>419</v>
      </c>
      <c r="O167" t="s">
        <v>749</v>
      </c>
      <c r="P167" t="s">
        <v>115</v>
      </c>
    </row>
    <row r="168" spans="1:16" x14ac:dyDescent="0.25">
      <c r="A168" t="s">
        <v>600</v>
      </c>
      <c r="B168" t="str">
        <f t="shared" si="2"/>
        <v>PTC8007 - Explicação de termos</v>
      </c>
      <c r="D168" t="s">
        <v>404</v>
      </c>
      <c r="E168" t="s">
        <v>412</v>
      </c>
      <c r="F168" s="8" t="s">
        <v>420</v>
      </c>
      <c r="H168" t="s">
        <v>252</v>
      </c>
      <c r="I168" t="s">
        <v>252</v>
      </c>
      <c r="J168" t="s">
        <v>252</v>
      </c>
      <c r="K168" t="s">
        <v>252</v>
      </c>
      <c r="L168" t="s">
        <v>252</v>
      </c>
      <c r="M168" t="s">
        <v>252</v>
      </c>
      <c r="N168" t="s">
        <v>252</v>
      </c>
      <c r="O168" t="s">
        <v>750</v>
      </c>
      <c r="P168" t="s">
        <v>106</v>
      </c>
    </row>
    <row r="169" spans="1:16" x14ac:dyDescent="0.25">
      <c r="A169" t="s">
        <v>601</v>
      </c>
      <c r="B169" t="str">
        <f t="shared" si="2"/>
        <v>PTC8008 - Água</v>
      </c>
      <c r="D169" t="s">
        <v>404</v>
      </c>
      <c r="E169" t="s">
        <v>412</v>
      </c>
      <c r="F169" s="8" t="s">
        <v>421</v>
      </c>
      <c r="H169" t="s">
        <v>253</v>
      </c>
      <c r="I169" t="s">
        <v>253</v>
      </c>
      <c r="J169" t="s">
        <v>253</v>
      </c>
      <c r="K169" t="s">
        <v>253</v>
      </c>
      <c r="L169" t="s">
        <v>253</v>
      </c>
      <c r="M169" t="s">
        <v>253</v>
      </c>
      <c r="N169" t="s">
        <v>253</v>
      </c>
      <c r="O169" t="s">
        <v>253</v>
      </c>
      <c r="P169" t="s">
        <v>107</v>
      </c>
    </row>
    <row r="170" spans="1:16" x14ac:dyDescent="0.25">
      <c r="A170" t="s">
        <v>602</v>
      </c>
      <c r="B170" t="str">
        <f t="shared" si="2"/>
        <v>PTC8009 - Ar</v>
      </c>
      <c r="D170" t="s">
        <v>404</v>
      </c>
      <c r="E170" t="s">
        <v>412</v>
      </c>
      <c r="F170" s="8" t="s">
        <v>422</v>
      </c>
      <c r="H170" t="s">
        <v>254</v>
      </c>
      <c r="I170" t="s">
        <v>254</v>
      </c>
      <c r="J170" t="s">
        <v>254</v>
      </c>
      <c r="K170" t="s">
        <v>254</v>
      </c>
      <c r="L170" t="s">
        <v>254</v>
      </c>
      <c r="M170" t="s">
        <v>254</v>
      </c>
      <c r="N170" t="s">
        <v>254</v>
      </c>
      <c r="O170" t="s">
        <v>254</v>
      </c>
      <c r="P170" t="s">
        <v>108</v>
      </c>
    </row>
    <row r="171" spans="1:16" x14ac:dyDescent="0.25">
      <c r="A171" t="s">
        <v>603</v>
      </c>
      <c r="B171" t="str">
        <f t="shared" si="2"/>
        <v>PTC8010 - Vapor</v>
      </c>
      <c r="D171" t="s">
        <v>404</v>
      </c>
      <c r="E171" t="s">
        <v>412</v>
      </c>
      <c r="F171" s="8" t="s">
        <v>423</v>
      </c>
      <c r="H171" t="s">
        <v>255</v>
      </c>
      <c r="I171" t="s">
        <v>255</v>
      </c>
      <c r="J171" t="s">
        <v>255</v>
      </c>
      <c r="K171" t="s">
        <v>255</v>
      </c>
      <c r="L171" t="s">
        <v>255</v>
      </c>
      <c r="M171" t="s">
        <v>255</v>
      </c>
      <c r="N171" t="s">
        <v>255</v>
      </c>
      <c r="O171" t="s">
        <v>255</v>
      </c>
      <c r="P171" t="s">
        <v>109</v>
      </c>
    </row>
    <row r="172" spans="1:16" x14ac:dyDescent="0.25">
      <c r="A172" t="s">
        <v>604</v>
      </c>
      <c r="B172" t="str">
        <f t="shared" si="2"/>
        <v>PTC8011 - Recomendações de limpeza</v>
      </c>
      <c r="D172" t="s">
        <v>404</v>
      </c>
      <c r="E172" t="s">
        <v>412</v>
      </c>
      <c r="F172" s="8" t="s">
        <v>424</v>
      </c>
      <c r="H172" t="s">
        <v>256</v>
      </c>
      <c r="I172" t="s">
        <v>256</v>
      </c>
      <c r="J172" t="s">
        <v>256</v>
      </c>
      <c r="K172" t="s">
        <v>256</v>
      </c>
      <c r="L172" t="s">
        <v>256</v>
      </c>
      <c r="M172" t="s">
        <v>256</v>
      </c>
      <c r="N172" t="s">
        <v>256</v>
      </c>
      <c r="O172" t="s">
        <v>751</v>
      </c>
      <c r="P172" t="s">
        <v>110</v>
      </c>
    </row>
    <row r="173" spans="1:16" x14ac:dyDescent="0.25">
      <c r="A173" t="s">
        <v>605</v>
      </c>
      <c r="B173" t="str">
        <f t="shared" si="2"/>
        <v>PTC8012 - Higiene do ambiente (piso, paredes, ralos, esteiras)</v>
      </c>
      <c r="D173" t="s">
        <v>404</v>
      </c>
      <c r="E173" t="s">
        <v>412</v>
      </c>
      <c r="F173" s="8" t="s">
        <v>425</v>
      </c>
      <c r="H173" t="s">
        <v>257</v>
      </c>
      <c r="I173" t="s">
        <v>257</v>
      </c>
      <c r="J173" t="s">
        <v>338</v>
      </c>
      <c r="K173" t="s">
        <v>257</v>
      </c>
      <c r="L173" t="s">
        <v>257</v>
      </c>
      <c r="M173" t="s">
        <v>338</v>
      </c>
      <c r="N173" t="s">
        <v>338</v>
      </c>
      <c r="O173" t="s">
        <v>752</v>
      </c>
      <c r="P173" t="s">
        <v>111</v>
      </c>
    </row>
    <row r="174" spans="1:16" x14ac:dyDescent="0.25">
      <c r="A174" t="s">
        <v>606</v>
      </c>
      <c r="B174" t="str">
        <f t="shared" si="2"/>
        <v>PTC8013 - Limpeza externa: máquinas selecionadas</v>
      </c>
      <c r="D174" t="s">
        <v>404</v>
      </c>
      <c r="E174" t="s">
        <v>412</v>
      </c>
      <c r="F174" s="8" t="s">
        <v>426</v>
      </c>
      <c r="H174" t="s">
        <v>258</v>
      </c>
      <c r="I174" t="s">
        <v>258</v>
      </c>
      <c r="J174" t="s">
        <v>339</v>
      </c>
      <c r="K174" t="s">
        <v>258</v>
      </c>
      <c r="L174" t="s">
        <v>258</v>
      </c>
      <c r="M174" t="s">
        <v>339</v>
      </c>
      <c r="N174" t="s">
        <v>339</v>
      </c>
      <c r="O174" t="s">
        <v>258</v>
      </c>
      <c r="P174" t="s">
        <v>112</v>
      </c>
    </row>
    <row r="175" spans="1:16" x14ac:dyDescent="0.25">
      <c r="A175" t="s">
        <v>607</v>
      </c>
      <c r="B175" t="str">
        <f t="shared" si="2"/>
        <v>PTC8014 - Passivação</v>
      </c>
      <c r="D175" t="s">
        <v>404</v>
      </c>
      <c r="E175" t="s">
        <v>412</v>
      </c>
      <c r="F175" s="8" t="s">
        <v>427</v>
      </c>
      <c r="H175" t="s">
        <v>259</v>
      </c>
      <c r="I175" t="s">
        <v>259</v>
      </c>
      <c r="J175" t="s">
        <v>259</v>
      </c>
      <c r="K175" t="s">
        <v>259</v>
      </c>
      <c r="L175" t="s">
        <v>259</v>
      </c>
      <c r="M175" t="s">
        <v>259</v>
      </c>
      <c r="N175" t="s">
        <v>259</v>
      </c>
      <c r="O175" t="s">
        <v>259</v>
      </c>
      <c r="P175" t="s">
        <v>113</v>
      </c>
    </row>
    <row r="176" spans="1:16" x14ac:dyDescent="0.25">
      <c r="A176" t="s">
        <v>608</v>
      </c>
      <c r="B176" t="str">
        <f t="shared" si="2"/>
        <v>PTC8015 - Operação</v>
      </c>
      <c r="D176" t="s">
        <v>404</v>
      </c>
      <c r="E176" t="s">
        <v>412</v>
      </c>
      <c r="F176" s="8" t="s">
        <v>428</v>
      </c>
      <c r="H176" t="s">
        <v>208</v>
      </c>
      <c r="I176" t="s">
        <v>208</v>
      </c>
      <c r="J176" t="s">
        <v>208</v>
      </c>
      <c r="K176" t="s">
        <v>208</v>
      </c>
      <c r="L176" t="s">
        <v>208</v>
      </c>
      <c r="M176" t="s">
        <v>208</v>
      </c>
      <c r="N176" t="s">
        <v>208</v>
      </c>
      <c r="O176" t="s">
        <v>208</v>
      </c>
      <c r="P176" t="s">
        <v>57</v>
      </c>
    </row>
    <row r="177" spans="1:16" x14ac:dyDescent="0.25">
      <c r="A177" t="s">
        <v>609</v>
      </c>
      <c r="B177" t="str">
        <f t="shared" si="2"/>
        <v>PTC8016 - Dados da máquina</v>
      </c>
      <c r="D177" t="s">
        <v>404</v>
      </c>
      <c r="E177" t="s">
        <v>412</v>
      </c>
      <c r="F177" s="8" t="s">
        <v>429</v>
      </c>
      <c r="H177" t="s">
        <v>260</v>
      </c>
      <c r="I177" t="s">
        <v>260</v>
      </c>
      <c r="J177" t="s">
        <v>260</v>
      </c>
      <c r="K177" t="s">
        <v>260</v>
      </c>
      <c r="L177" t="s">
        <v>260</v>
      </c>
      <c r="M177" t="s">
        <v>260</v>
      </c>
      <c r="N177" t="s">
        <v>260</v>
      </c>
      <c r="O177" t="s">
        <v>748</v>
      </c>
      <c r="P177" t="s">
        <v>114</v>
      </c>
    </row>
    <row r="178" spans="1:16" x14ac:dyDescent="0.25">
      <c r="A178" t="s">
        <v>610</v>
      </c>
      <c r="B178" t="str">
        <f t="shared" si="2"/>
        <v>PTC8017 - Dados de alimentação</v>
      </c>
      <c r="D178" t="s">
        <v>404</v>
      </c>
      <c r="E178" t="s">
        <v>412</v>
      </c>
      <c r="F178" s="8" t="s">
        <v>430</v>
      </c>
      <c r="I178" t="s">
        <v>350</v>
      </c>
      <c r="K178" t="s">
        <v>350</v>
      </c>
      <c r="L178" t="s">
        <v>350</v>
      </c>
      <c r="M178" t="s">
        <v>350</v>
      </c>
      <c r="N178" t="s">
        <v>350</v>
      </c>
      <c r="O178" t="s">
        <v>749</v>
      </c>
      <c r="P178" t="s">
        <v>115</v>
      </c>
    </row>
    <row r="179" spans="1:16" x14ac:dyDescent="0.25">
      <c r="A179" t="s">
        <v>611</v>
      </c>
      <c r="B179" t="str">
        <f t="shared" si="2"/>
        <v>PTC8018 - Quantidades de escoamento das máquinas</v>
      </c>
      <c r="D179" t="s">
        <v>404</v>
      </c>
      <c r="E179" t="s">
        <v>412</v>
      </c>
      <c r="F179" s="8" t="s">
        <v>431</v>
      </c>
      <c r="L179" t="s">
        <v>373</v>
      </c>
      <c r="M179" t="s">
        <v>393</v>
      </c>
      <c r="N179" t="s">
        <v>393</v>
      </c>
      <c r="O179" t="s">
        <v>753</v>
      </c>
      <c r="P179" t="s">
        <v>116</v>
      </c>
    </row>
    <row r="180" spans="1:16" x14ac:dyDescent="0.25">
      <c r="A180" t="s">
        <v>612</v>
      </c>
      <c r="B180" t="str">
        <f t="shared" si="2"/>
        <v>PTC8019 - Valores de ajuste</v>
      </c>
      <c r="D180" t="s">
        <v>404</v>
      </c>
      <c r="E180" t="s">
        <v>412</v>
      </c>
      <c r="F180" s="8" t="s">
        <v>432</v>
      </c>
      <c r="H180" t="s">
        <v>261</v>
      </c>
      <c r="I180" t="s">
        <v>261</v>
      </c>
      <c r="J180" t="s">
        <v>261</v>
      </c>
      <c r="K180" t="s">
        <v>261</v>
      </c>
      <c r="L180" t="s">
        <v>261</v>
      </c>
      <c r="M180" t="s">
        <v>261</v>
      </c>
      <c r="N180" t="s">
        <v>261</v>
      </c>
      <c r="O180" t="s">
        <v>754</v>
      </c>
      <c r="P180" t="s">
        <v>117</v>
      </c>
    </row>
    <row r="181" spans="1:16" x14ac:dyDescent="0.25">
      <c r="A181" t="s">
        <v>613</v>
      </c>
      <c r="B181" t="str">
        <f t="shared" si="2"/>
        <v>PTC8020 - Emissão de ruído</v>
      </c>
      <c r="D181" t="s">
        <v>404</v>
      </c>
      <c r="E181" t="s">
        <v>412</v>
      </c>
      <c r="F181" s="8" t="s">
        <v>433</v>
      </c>
      <c r="H181" t="s">
        <v>262</v>
      </c>
      <c r="I181" t="s">
        <v>262</v>
      </c>
      <c r="J181" t="s">
        <v>262</v>
      </c>
      <c r="K181" t="s">
        <v>262</v>
      </c>
      <c r="L181" t="s">
        <v>262</v>
      </c>
      <c r="M181" t="s">
        <v>262</v>
      </c>
      <c r="N181" t="s">
        <v>262</v>
      </c>
      <c r="O181" t="s">
        <v>755</v>
      </c>
      <c r="P181" t="s">
        <v>118</v>
      </c>
    </row>
    <row r="182" spans="1:16" x14ac:dyDescent="0.25">
      <c r="A182" t="s">
        <v>614</v>
      </c>
      <c r="B182" t="str">
        <f t="shared" si="2"/>
        <v>PTC8021 - Manutenção</v>
      </c>
      <c r="D182" t="s">
        <v>404</v>
      </c>
      <c r="E182" t="s">
        <v>412</v>
      </c>
      <c r="F182" s="8" t="s">
        <v>434</v>
      </c>
      <c r="H182" t="s">
        <v>230</v>
      </c>
      <c r="I182" t="s">
        <v>230</v>
      </c>
      <c r="J182" t="s">
        <v>322</v>
      </c>
      <c r="K182" t="s">
        <v>230</v>
      </c>
      <c r="L182" t="s">
        <v>230</v>
      </c>
      <c r="M182" t="s">
        <v>322</v>
      </c>
      <c r="N182" t="s">
        <v>322</v>
      </c>
      <c r="O182" t="s">
        <v>725</v>
      </c>
      <c r="P182" t="s">
        <v>83</v>
      </c>
    </row>
    <row r="183" spans="1:16" x14ac:dyDescent="0.25">
      <c r="A183" t="s">
        <v>615</v>
      </c>
      <c r="B183" t="str">
        <f t="shared" si="2"/>
        <v>PTC8022 - Identificação dos dispositivos para desligamento e proteção</v>
      </c>
      <c r="D183" t="s">
        <v>404</v>
      </c>
      <c r="E183" t="s">
        <v>412</v>
      </c>
      <c r="F183" s="8" t="s">
        <v>435</v>
      </c>
      <c r="H183" t="s">
        <v>263</v>
      </c>
      <c r="I183" t="s">
        <v>351</v>
      </c>
      <c r="J183" t="s">
        <v>340</v>
      </c>
      <c r="K183" t="s">
        <v>351</v>
      </c>
      <c r="L183" t="s">
        <v>351</v>
      </c>
      <c r="M183" t="s">
        <v>340</v>
      </c>
      <c r="N183" t="s">
        <v>340</v>
      </c>
      <c r="O183" t="s">
        <v>756</v>
      </c>
      <c r="P183" t="s">
        <v>135</v>
      </c>
    </row>
    <row r="184" spans="1:16" x14ac:dyDescent="0.25">
      <c r="A184" t="s">
        <v>616</v>
      </c>
      <c r="B184" t="str">
        <f t="shared" si="2"/>
        <v>PTC8023 - Compatibilidades dos materiais</v>
      </c>
      <c r="D184" t="s">
        <v>404</v>
      </c>
      <c r="E184" t="s">
        <v>412</v>
      </c>
      <c r="F184" s="8" t="s">
        <v>436</v>
      </c>
      <c r="H184" t="s">
        <v>264</v>
      </c>
      <c r="I184" t="s">
        <v>264</v>
      </c>
      <c r="J184" t="s">
        <v>341</v>
      </c>
      <c r="K184" t="s">
        <v>264</v>
      </c>
      <c r="L184" t="s">
        <v>264</v>
      </c>
      <c r="M184" t="s">
        <v>341</v>
      </c>
      <c r="N184" t="s">
        <v>341</v>
      </c>
      <c r="O184" t="s">
        <v>757</v>
      </c>
      <c r="P184" t="s">
        <v>119</v>
      </c>
    </row>
    <row r="185" spans="1:16" x14ac:dyDescent="0.25">
      <c r="A185" s="9" t="s">
        <v>776</v>
      </c>
      <c r="B185" s="9" t="str">
        <f t="shared" si="2"/>
        <v>PTC8024 - Detergente</v>
      </c>
      <c r="D185" t="s">
        <v>404</v>
      </c>
      <c r="E185" t="s">
        <v>412</v>
      </c>
      <c r="F185" s="8" t="s">
        <v>437</v>
      </c>
      <c r="O185" t="s">
        <v>277</v>
      </c>
      <c r="P185" t="s">
        <v>145</v>
      </c>
    </row>
    <row r="186" spans="1:16" x14ac:dyDescent="0.25">
      <c r="A186" t="s">
        <v>617</v>
      </c>
      <c r="B186" t="str">
        <f t="shared" si="2"/>
        <v>PTC8025 - Características dos materiais de vedação</v>
      </c>
      <c r="D186" t="s">
        <v>404</v>
      </c>
      <c r="E186" t="s">
        <v>412</v>
      </c>
      <c r="F186" s="8" t="s">
        <v>438</v>
      </c>
      <c r="H186" t="s">
        <v>265</v>
      </c>
      <c r="I186" t="s">
        <v>265</v>
      </c>
      <c r="J186" t="s">
        <v>342</v>
      </c>
      <c r="K186" t="s">
        <v>265</v>
      </c>
      <c r="L186" t="s">
        <v>265</v>
      </c>
      <c r="M186" t="s">
        <v>342</v>
      </c>
      <c r="N186" t="s">
        <v>342</v>
      </c>
      <c r="O186" t="s">
        <v>265</v>
      </c>
      <c r="P186" t="s">
        <v>120</v>
      </c>
    </row>
    <row r="187" spans="1:16" x14ac:dyDescent="0.25">
      <c r="A187" t="s">
        <v>618</v>
      </c>
      <c r="B187" t="str">
        <f t="shared" si="2"/>
        <v>PTC8026 - Certificados</v>
      </c>
      <c r="D187" t="s">
        <v>404</v>
      </c>
      <c r="E187" t="s">
        <v>412</v>
      </c>
      <c r="F187" s="8" t="s">
        <v>439</v>
      </c>
      <c r="J187" t="s">
        <v>278</v>
      </c>
      <c r="M187" t="s">
        <v>344</v>
      </c>
      <c r="O187" t="s">
        <v>278</v>
      </c>
      <c r="P187" t="s">
        <v>278</v>
      </c>
    </row>
    <row r="188" spans="1:16" x14ac:dyDescent="0.25">
      <c r="A188" t="s">
        <v>619</v>
      </c>
      <c r="B188" t="str">
        <f t="shared" si="2"/>
        <v>PTC8027 - Declaração de conformidade CE</v>
      </c>
      <c r="D188" t="s">
        <v>404</v>
      </c>
      <c r="E188" t="s">
        <v>412</v>
      </c>
      <c r="F188" s="8" t="s">
        <v>440</v>
      </c>
      <c r="J188" t="s">
        <v>343</v>
      </c>
      <c r="O188" t="s">
        <v>279</v>
      </c>
      <c r="P188" t="s">
        <v>279</v>
      </c>
    </row>
    <row r="189" spans="1:16" x14ac:dyDescent="0.25">
      <c r="A189" t="s">
        <v>620</v>
      </c>
      <c r="B189" t="str">
        <f t="shared" si="2"/>
        <v>PTC8028 - Plano de montagem</v>
      </c>
      <c r="D189" t="s">
        <v>404</v>
      </c>
      <c r="E189" t="s">
        <v>412</v>
      </c>
      <c r="F189" s="8" t="s">
        <v>441</v>
      </c>
      <c r="H189" t="s">
        <v>266</v>
      </c>
      <c r="I189" t="s">
        <v>266</v>
      </c>
      <c r="J189" t="s">
        <v>344</v>
      </c>
      <c r="K189" t="s">
        <v>266</v>
      </c>
      <c r="L189" t="s">
        <v>374</v>
      </c>
      <c r="N189" t="s">
        <v>344</v>
      </c>
      <c r="O189" t="s">
        <v>758</v>
      </c>
      <c r="P189" t="s">
        <v>121</v>
      </c>
    </row>
    <row r="190" spans="1:16" x14ac:dyDescent="0.25">
      <c r="A190" s="9" t="s">
        <v>797</v>
      </c>
      <c r="B190" s="9" t="str">
        <f t="shared" si="2"/>
        <v>PTC8029 - sistema de limpeza</v>
      </c>
      <c r="D190" t="s">
        <v>404</v>
      </c>
      <c r="E190" t="s">
        <v>412</v>
      </c>
      <c r="F190" s="8" t="s">
        <v>442</v>
      </c>
      <c r="O190" t="s">
        <v>655</v>
      </c>
      <c r="P190" t="s">
        <v>30</v>
      </c>
    </row>
    <row r="191" spans="1:16" x14ac:dyDescent="0.25">
      <c r="A191" s="9" t="s">
        <v>798</v>
      </c>
      <c r="B191" s="9" t="str">
        <f t="shared" si="2"/>
        <v>PTC8030 - área CR69</v>
      </c>
      <c r="D191" t="s">
        <v>404</v>
      </c>
      <c r="E191" t="s">
        <v>412</v>
      </c>
      <c r="F191" s="8" t="s">
        <v>443</v>
      </c>
      <c r="O191" t="s">
        <v>759</v>
      </c>
      <c r="P191" t="s">
        <v>122</v>
      </c>
    </row>
    <row r="192" spans="1:16" x14ac:dyDescent="0.25">
      <c r="A192" s="9" t="s">
        <v>777</v>
      </c>
      <c r="B192" s="9" t="str">
        <f t="shared" si="2"/>
        <v>PTC8031 - Aquecedor de água fresca (área CR83)</v>
      </c>
      <c r="D192" t="s">
        <v>404</v>
      </c>
      <c r="E192" t="s">
        <v>412</v>
      </c>
      <c r="F192" s="8" t="s">
        <v>444</v>
      </c>
      <c r="O192" t="s">
        <v>662</v>
      </c>
      <c r="P192" t="s">
        <v>36</v>
      </c>
    </row>
    <row r="193" spans="1:16" x14ac:dyDescent="0.25">
      <c r="A193" s="9" t="s">
        <v>778</v>
      </c>
      <c r="B193" s="9" t="str">
        <f t="shared" si="2"/>
        <v>PTC8032 - Aquecedor de água fresca (área CR84)</v>
      </c>
      <c r="D193" t="s">
        <v>404</v>
      </c>
      <c r="E193" t="s">
        <v>412</v>
      </c>
      <c r="F193" s="8" t="s">
        <v>445</v>
      </c>
      <c r="O193" t="s">
        <v>661</v>
      </c>
      <c r="P193" t="s">
        <v>35</v>
      </c>
    </row>
    <row r="194" spans="1:16" x14ac:dyDescent="0.25">
      <c r="A194" t="s">
        <v>621</v>
      </c>
      <c r="B194" t="str">
        <f t="shared" si="2"/>
        <v>PTC8033 - Fluxograma da tubulação e dos instrumentos (diagrama P&amp;ID)</v>
      </c>
      <c r="D194" t="s">
        <v>404</v>
      </c>
      <c r="E194" t="s">
        <v>412</v>
      </c>
      <c r="F194" s="8" t="s">
        <v>446</v>
      </c>
      <c r="H194" t="s">
        <v>267</v>
      </c>
      <c r="I194" t="s">
        <v>267</v>
      </c>
      <c r="J194" t="s">
        <v>345</v>
      </c>
      <c r="K194" t="s">
        <v>267</v>
      </c>
      <c r="L194" t="s">
        <v>267</v>
      </c>
      <c r="M194" t="s">
        <v>345</v>
      </c>
      <c r="N194" t="s">
        <v>345</v>
      </c>
      <c r="O194" t="s">
        <v>760</v>
      </c>
      <c r="P194" t="s">
        <v>123</v>
      </c>
    </row>
    <row r="195" spans="1:16" x14ac:dyDescent="0.25">
      <c r="A195" t="s">
        <v>622</v>
      </c>
      <c r="B195" t="str">
        <f t="shared" ref="B195:B197" si="3">IF(H195="",IF(I195="",IF(J195="",IF(K195="",IF(L195="",IF(M195="",IF(N195="",IF(O195="","",_xlfn.CONCAT(D195,E195,F195," - ",O195)),_xlfn.CONCAT(D195,E195,F195," - ",N195)),_xlfn.CONCAT(D195,E195,F195," - ",M195)),_xlfn.CONCAT(D195,E195,F195," - ",L195)),_xlfn.CONCAT(D195,E195,F195," - ",K195)),_xlfn.CONCAT(D195,E195,F195," - ",J195)),_xlfn.CONCAT(D195,E195,F195," - ",I195)),_xlfn.CONCAT(D195,E195,F195," - ",H195))</f>
        <v>PTC8034 - Legenda</v>
      </c>
      <c r="D195" t="s">
        <v>404</v>
      </c>
      <c r="E195" t="s">
        <v>412</v>
      </c>
      <c r="F195" s="8" t="s">
        <v>447</v>
      </c>
      <c r="H195" t="s">
        <v>268</v>
      </c>
      <c r="I195" t="s">
        <v>268</v>
      </c>
      <c r="J195" t="s">
        <v>268</v>
      </c>
      <c r="K195" t="s">
        <v>268</v>
      </c>
      <c r="L195" t="s">
        <v>268</v>
      </c>
      <c r="M195" t="s">
        <v>268</v>
      </c>
      <c r="N195" t="s">
        <v>268</v>
      </c>
      <c r="O195" t="s">
        <v>761</v>
      </c>
      <c r="P195" t="s">
        <v>124</v>
      </c>
    </row>
    <row r="196" spans="1:16" x14ac:dyDescent="0.25">
      <c r="A196" s="9" t="s">
        <v>800</v>
      </c>
      <c r="B196" s="9" t="str">
        <f t="shared" si="3"/>
        <v>PTC8035 - lista de conexão de mídia</v>
      </c>
      <c r="D196" t="s">
        <v>404</v>
      </c>
      <c r="E196" t="s">
        <v>412</v>
      </c>
      <c r="F196" s="8" t="s">
        <v>448</v>
      </c>
      <c r="O196" t="s">
        <v>762</v>
      </c>
      <c r="P196" t="s">
        <v>146</v>
      </c>
    </row>
    <row r="197" spans="1:16" x14ac:dyDescent="0.25">
      <c r="A197" t="s">
        <v>623</v>
      </c>
      <c r="B197" t="str">
        <f t="shared" si="3"/>
        <v>PTC9 - Anexo</v>
      </c>
      <c r="D197" t="s">
        <v>404</v>
      </c>
      <c r="E197" t="s">
        <v>413</v>
      </c>
      <c r="H197" s="2" t="s">
        <v>269</v>
      </c>
      <c r="I197" s="2" t="s">
        <v>269</v>
      </c>
      <c r="J197" s="2" t="s">
        <v>269</v>
      </c>
      <c r="K197" s="2" t="s">
        <v>269</v>
      </c>
      <c r="L197" s="2" t="s">
        <v>269</v>
      </c>
      <c r="M197" s="2" t="s">
        <v>269</v>
      </c>
      <c r="N197" s="2" t="s">
        <v>269</v>
      </c>
      <c r="O197" t="s">
        <v>763</v>
      </c>
      <c r="P197" t="s">
        <v>125</v>
      </c>
    </row>
  </sheetData>
  <autoFilter ref="B1:N197" xr:uid="{AE75C646-4156-40B6-8C1A-EF1EDB03E7B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Alemanha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Marrasca, Carlos</dc:creator>
  <cp:lastModifiedBy>Marrasca, Carlos</cp:lastModifiedBy>
  <dcterms:created xsi:type="dcterms:W3CDTF">2020-09-23T12:47:30Z</dcterms:created>
  <dcterms:modified xsi:type="dcterms:W3CDTF">2021-04-27T17:55:20Z</dcterms:modified>
</cp:coreProperties>
</file>