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V:\Abteilungen\SaoPaulo\PQK-M\Transfer\Fillipe Silva\Configurador\"/>
    </mc:Choice>
  </mc:AlternateContent>
  <xr:revisionPtr revIDLastSave="0" documentId="13_ncr:1_{B2A4F764-B0BB-4871-81CC-D6580B153C4C}" xr6:coauthVersionLast="41" xr6:coauthVersionMax="41" xr10:uidLastSave="{00000000-0000-0000-0000-000000000000}"/>
  <bookViews>
    <workbookView xWindow="4530" yWindow="3405" windowWidth="21600" windowHeight="11385" xr2:uid="{7A657019-5994-429A-96AF-860D057FBB29}"/>
  </bookViews>
  <sheets>
    <sheet name="Padrão Alemanha" sheetId="1" r:id="rId1"/>
    <sheet name="Planilha2" sheetId="2" r:id="rId2"/>
    <sheet name="Planilha1" sheetId="3" r:id="rId3"/>
  </sheets>
  <definedNames>
    <definedName name="_xlnm._FilterDatabase" localSheetId="0" hidden="1">'Padrão Alemanha'!$A$5:$AJ$5</definedName>
    <definedName name="_xlnm._FilterDatabase" localSheetId="2" hidden="1">Planilha1!$B$1:$N$197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2" i="3"/>
  <c r="D1" i="1" l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C1" i="1"/>
  <c r="B40" i="1" l="1" a="1"/>
  <c r="B40" i="1" s="1"/>
  <c r="B41" i="1" a="1"/>
  <c r="B41" i="1" s="1"/>
  <c r="B42" i="1" a="1"/>
  <c r="B42" i="1" s="1"/>
  <c r="B43" i="1" a="1"/>
  <c r="B43" i="1" s="1"/>
  <c r="B44" i="1" a="1"/>
  <c r="B44" i="1" s="1"/>
  <c r="B45" i="1" a="1"/>
  <c r="B45" i="1" s="1"/>
  <c r="B46" i="1" a="1"/>
  <c r="B46" i="1" s="1"/>
  <c r="B47" i="1" a="1"/>
  <c r="B47" i="1" s="1"/>
  <c r="B48" i="1" a="1"/>
  <c r="B48" i="1" s="1"/>
  <c r="B49" i="1" a="1"/>
  <c r="B49" i="1" s="1"/>
  <c r="B50" i="1" a="1"/>
  <c r="B50" i="1" s="1"/>
  <c r="B51" i="1" a="1"/>
  <c r="B51" i="1" s="1"/>
  <c r="B52" i="1" a="1"/>
  <c r="B52" i="1" s="1"/>
  <c r="B53" i="1" a="1"/>
  <c r="B53" i="1" s="1"/>
  <c r="B54" i="1" a="1"/>
  <c r="B54" i="1" s="1"/>
  <c r="B55" i="1" a="1"/>
  <c r="B55" i="1" s="1"/>
  <c r="B56" i="1" a="1"/>
  <c r="B56" i="1" s="1"/>
  <c r="B57" i="1" a="1"/>
  <c r="B57" i="1" s="1"/>
  <c r="B58" i="1" a="1"/>
  <c r="B58" i="1" s="1"/>
  <c r="B59" i="1" a="1"/>
  <c r="B59" i="1" s="1"/>
  <c r="B60" i="1" a="1"/>
  <c r="B60" i="1" s="1"/>
  <c r="B61" i="1" a="1"/>
  <c r="B61" i="1" s="1"/>
  <c r="B62" i="1" a="1"/>
  <c r="B62" i="1" s="1"/>
  <c r="B63" i="1" a="1"/>
  <c r="B63" i="1" s="1"/>
  <c r="B64" i="1" a="1"/>
  <c r="B64" i="1" s="1"/>
  <c r="B65" i="1" a="1"/>
  <c r="B65" i="1" s="1"/>
  <c r="B66" i="1" a="1"/>
  <c r="B66" i="1" s="1"/>
  <c r="B67" i="1" a="1"/>
  <c r="B67" i="1" s="1"/>
  <c r="B68" i="1" a="1"/>
  <c r="B68" i="1" s="1"/>
  <c r="B69" i="1" a="1"/>
  <c r="B69" i="1" s="1"/>
  <c r="B70" i="1" a="1"/>
  <c r="B70" i="1" s="1"/>
  <c r="B71" i="1" a="1"/>
  <c r="B71" i="1" s="1"/>
  <c r="B72" i="1" a="1"/>
  <c r="B72" i="1" s="1"/>
  <c r="B73" i="1" a="1"/>
  <c r="B73" i="1" s="1"/>
  <c r="B74" i="1" a="1"/>
  <c r="B74" i="1" s="1"/>
  <c r="B75" i="1" a="1"/>
  <c r="B75" i="1" s="1"/>
  <c r="B76" i="1" a="1"/>
  <c r="B76" i="1" s="1"/>
  <c r="B77" i="1" a="1"/>
  <c r="B77" i="1" s="1"/>
  <c r="B78" i="1" a="1"/>
  <c r="B78" i="1" s="1"/>
  <c r="B79" i="1" a="1"/>
  <c r="B79" i="1" s="1"/>
  <c r="B80" i="1" a="1"/>
  <c r="B80" i="1" s="1"/>
  <c r="B81" i="1" a="1"/>
  <c r="B81" i="1" s="1"/>
  <c r="B82" i="1" a="1"/>
  <c r="B82" i="1" s="1"/>
  <c r="B83" i="1" a="1"/>
  <c r="B83" i="1" s="1"/>
  <c r="B84" i="1" a="1"/>
  <c r="B84" i="1" s="1"/>
  <c r="B85" i="1" a="1"/>
  <c r="B85" i="1" s="1"/>
  <c r="B86" i="1" a="1"/>
  <c r="B86" i="1" s="1"/>
  <c r="B87" i="1" a="1"/>
  <c r="B87" i="1" s="1"/>
  <c r="B88" i="1" a="1"/>
  <c r="B88" i="1" s="1"/>
  <c r="B89" i="1" a="1"/>
  <c r="B89" i="1" s="1"/>
  <c r="B90" i="1" a="1"/>
  <c r="B90" i="1" s="1"/>
  <c r="B91" i="1" a="1"/>
  <c r="B91" i="1" s="1"/>
  <c r="B92" i="1" a="1"/>
  <c r="B92" i="1" s="1"/>
  <c r="B93" i="1" a="1"/>
  <c r="B93" i="1" s="1"/>
  <c r="B94" i="1" a="1"/>
  <c r="B94" i="1" s="1"/>
  <c r="B95" i="1" a="1"/>
  <c r="B95" i="1" s="1"/>
  <c r="B96" i="1" a="1"/>
  <c r="B96" i="1" s="1"/>
  <c r="B97" i="1" a="1"/>
  <c r="B97" i="1" s="1"/>
  <c r="B98" i="1" a="1"/>
  <c r="B98" i="1" s="1"/>
  <c r="B99" i="1" a="1"/>
  <c r="B99" i="1" s="1"/>
  <c r="B100" i="1" a="1"/>
  <c r="B100" i="1" s="1"/>
  <c r="B101" i="1" a="1"/>
  <c r="B101" i="1" s="1"/>
  <c r="B102" i="1" a="1"/>
  <c r="B102" i="1" s="1"/>
  <c r="B103" i="1" a="1"/>
  <c r="B103" i="1" s="1"/>
  <c r="B104" i="1" a="1"/>
  <c r="B104" i="1" s="1"/>
  <c r="B105" i="1" a="1"/>
  <c r="B105" i="1" s="1"/>
  <c r="B106" i="1" a="1"/>
  <c r="B106" i="1" s="1"/>
  <c r="B107" i="1" a="1"/>
  <c r="B107" i="1" s="1"/>
  <c r="B108" i="1" a="1"/>
  <c r="B108" i="1" s="1"/>
  <c r="B109" i="1" a="1"/>
  <c r="B109" i="1" s="1"/>
  <c r="B110" i="1" a="1"/>
  <c r="B110" i="1" s="1"/>
  <c r="B111" i="1" a="1"/>
  <c r="B111" i="1" s="1"/>
  <c r="B112" i="1" a="1"/>
  <c r="B112" i="1" s="1"/>
  <c r="B113" i="1" a="1"/>
  <c r="B113" i="1" s="1"/>
  <c r="B114" i="1" a="1"/>
  <c r="B114" i="1" s="1"/>
  <c r="B115" i="1" a="1"/>
  <c r="B115" i="1" s="1"/>
  <c r="B116" i="1" a="1"/>
  <c r="B116" i="1" s="1"/>
  <c r="B117" i="1" a="1"/>
  <c r="B117" i="1" s="1"/>
  <c r="B118" i="1" a="1"/>
  <c r="B118" i="1" s="1"/>
  <c r="B119" i="1" a="1"/>
  <c r="B119" i="1" s="1"/>
  <c r="B120" i="1" a="1"/>
  <c r="B120" i="1" s="1"/>
  <c r="B121" i="1" a="1"/>
  <c r="B121" i="1" s="1"/>
  <c r="B122" i="1" a="1"/>
  <c r="B122" i="1" s="1"/>
  <c r="B123" i="1" a="1"/>
  <c r="B123" i="1" s="1"/>
  <c r="B124" i="1" a="1"/>
  <c r="B124" i="1" s="1"/>
  <c r="B125" i="1" a="1"/>
  <c r="B125" i="1" s="1"/>
  <c r="B126" i="1" a="1"/>
  <c r="B126" i="1" s="1"/>
  <c r="B127" i="1" a="1"/>
  <c r="B127" i="1" s="1"/>
  <c r="B128" i="1" a="1"/>
  <c r="B128" i="1" s="1"/>
  <c r="B129" i="1" a="1"/>
  <c r="B129" i="1" s="1"/>
  <c r="B130" i="1" a="1"/>
  <c r="B130" i="1" s="1"/>
  <c r="B131" i="1" a="1"/>
  <c r="B131" i="1" s="1"/>
  <c r="B132" i="1" a="1"/>
  <c r="B132" i="1" s="1"/>
  <c r="B133" i="1" a="1"/>
  <c r="B133" i="1" s="1"/>
  <c r="B134" i="1" a="1"/>
  <c r="B134" i="1" s="1"/>
  <c r="B135" i="1" a="1"/>
  <c r="B135" i="1" s="1"/>
  <c r="B136" i="1" a="1"/>
  <c r="B136" i="1" s="1"/>
  <c r="B137" i="1" a="1"/>
  <c r="B137" i="1" s="1"/>
  <c r="B138" i="1" a="1"/>
  <c r="B138" i="1" s="1"/>
  <c r="B139" i="1" a="1"/>
  <c r="B139" i="1" s="1"/>
  <c r="B140" i="1" a="1"/>
  <c r="B140" i="1" s="1"/>
  <c r="B141" i="1" a="1"/>
  <c r="B141" i="1" s="1"/>
  <c r="B142" i="1" a="1"/>
  <c r="B142" i="1" s="1"/>
  <c r="B143" i="1" a="1"/>
  <c r="B143" i="1" s="1"/>
  <c r="B144" i="1" a="1"/>
  <c r="B144" i="1" s="1"/>
  <c r="B145" i="1" a="1"/>
  <c r="B145" i="1" s="1"/>
  <c r="B146" i="1" a="1"/>
  <c r="B146" i="1" s="1"/>
  <c r="B147" i="1" a="1"/>
  <c r="B147" i="1" s="1"/>
  <c r="B148" i="1" a="1"/>
  <c r="B148" i="1" s="1"/>
  <c r="B149" i="1" a="1"/>
  <c r="B149" i="1" s="1"/>
  <c r="B150" i="1" a="1"/>
  <c r="B150" i="1" s="1"/>
  <c r="B151" i="1" a="1"/>
  <c r="B151" i="1" s="1"/>
  <c r="B152" i="1" a="1"/>
  <c r="B152" i="1" s="1"/>
  <c r="B153" i="1" a="1"/>
  <c r="B153" i="1" s="1"/>
  <c r="B154" i="1" a="1"/>
  <c r="B154" i="1" s="1"/>
  <c r="B155" i="1" a="1"/>
  <c r="B155" i="1" s="1"/>
  <c r="B156" i="1" a="1"/>
  <c r="B156" i="1" s="1"/>
  <c r="B157" i="1" a="1"/>
  <c r="B157" i="1" s="1"/>
  <c r="B158" i="1" a="1"/>
  <c r="B158" i="1" s="1"/>
  <c r="B159" i="1" a="1"/>
  <c r="B159" i="1" s="1"/>
  <c r="B160" i="1" a="1"/>
  <c r="B160" i="1" s="1"/>
  <c r="B161" i="1" a="1"/>
  <c r="B161" i="1" s="1"/>
  <c r="B162" i="1" a="1"/>
  <c r="B162" i="1" s="1"/>
  <c r="B163" i="1" a="1"/>
  <c r="B163" i="1" s="1"/>
  <c r="B164" i="1" a="1"/>
  <c r="B164" i="1" s="1"/>
  <c r="B165" i="1" a="1"/>
  <c r="B165" i="1" s="1"/>
  <c r="B166" i="1" a="1"/>
  <c r="B166" i="1" s="1"/>
  <c r="B167" i="1" a="1"/>
  <c r="B167" i="1" s="1"/>
  <c r="B168" i="1" a="1"/>
  <c r="B168" i="1" s="1"/>
  <c r="B169" i="1" a="1"/>
  <c r="B169" i="1" s="1"/>
  <c r="B170" i="1" a="1"/>
  <c r="B170" i="1" s="1"/>
  <c r="B171" i="1" a="1"/>
  <c r="B171" i="1" s="1"/>
  <c r="B172" i="1" a="1"/>
  <c r="B172" i="1" s="1"/>
  <c r="B173" i="1" a="1"/>
  <c r="B173" i="1" s="1"/>
  <c r="B174" i="1" a="1"/>
  <c r="B174" i="1" s="1"/>
  <c r="B175" i="1" a="1"/>
  <c r="B175" i="1" s="1"/>
  <c r="B176" i="1" a="1"/>
  <c r="B176" i="1" s="1"/>
  <c r="B177" i="1" a="1"/>
  <c r="B177" i="1" s="1"/>
  <c r="B178" i="1" a="1"/>
  <c r="B178" i="1" s="1"/>
  <c r="B179" i="1" a="1"/>
  <c r="B179" i="1" s="1"/>
  <c r="B180" i="1" a="1"/>
  <c r="B180" i="1" s="1"/>
  <c r="B181" i="1" a="1"/>
  <c r="B181" i="1" s="1"/>
  <c r="B182" i="1" a="1"/>
  <c r="B182" i="1" s="1"/>
  <c r="B183" i="1" a="1"/>
  <c r="B183" i="1" s="1"/>
  <c r="B184" i="1" a="1"/>
  <c r="B184" i="1" s="1"/>
  <c r="B185" i="1" a="1"/>
  <c r="B185" i="1" s="1"/>
  <c r="B186" i="1" a="1"/>
  <c r="B186" i="1" s="1"/>
  <c r="B187" i="1" a="1"/>
  <c r="B187" i="1" s="1"/>
  <c r="B188" i="1" a="1"/>
  <c r="B188" i="1" s="1"/>
  <c r="B189" i="1" a="1"/>
  <c r="B189" i="1" s="1"/>
  <c r="B190" i="1" a="1"/>
  <c r="B190" i="1" s="1"/>
  <c r="B191" i="1" a="1"/>
  <c r="B191" i="1" s="1"/>
  <c r="B192" i="1" a="1"/>
  <c r="B192" i="1" s="1"/>
  <c r="B193" i="1" a="1"/>
  <c r="B193" i="1" s="1"/>
  <c r="B194" i="1" a="1"/>
  <c r="B194" i="1" s="1"/>
  <c r="B195" i="1" a="1"/>
  <c r="B195" i="1" s="1"/>
  <c r="B196" i="1" a="1"/>
  <c r="B196" i="1" s="1"/>
  <c r="B197" i="1" a="1"/>
  <c r="B197" i="1" s="1"/>
  <c r="B198" i="1" a="1"/>
  <c r="B198" i="1" s="1"/>
  <c r="B199" i="1" a="1"/>
  <c r="B199" i="1" s="1"/>
  <c r="B200" i="1" a="1"/>
  <c r="B200" i="1" s="1"/>
  <c r="B201" i="1" a="1"/>
  <c r="B201" i="1" s="1"/>
  <c r="B16" i="1" a="1"/>
  <c r="B16" i="1" s="1"/>
  <c r="B17" i="1" a="1"/>
  <c r="B17" i="1" s="1"/>
  <c r="B18" i="1" a="1"/>
  <c r="B18" i="1" s="1"/>
  <c r="B19" i="1" a="1"/>
  <c r="B19" i="1" s="1"/>
  <c r="B20" i="1" a="1"/>
  <c r="B20" i="1" s="1"/>
  <c r="B21" i="1" a="1"/>
  <c r="B21" i="1" s="1"/>
  <c r="B22" i="1" a="1"/>
  <c r="B22" i="1" s="1"/>
  <c r="B23" i="1" a="1"/>
  <c r="B23" i="1" s="1"/>
  <c r="B24" i="1" a="1"/>
  <c r="B24" i="1" s="1"/>
  <c r="B25" i="1" a="1"/>
  <c r="B25" i="1" s="1"/>
  <c r="B26" i="1" a="1"/>
  <c r="B26" i="1" s="1"/>
  <c r="B27" i="1" a="1"/>
  <c r="B27" i="1" s="1"/>
  <c r="B28" i="1" a="1"/>
  <c r="B28" i="1" s="1"/>
  <c r="B29" i="1" a="1"/>
  <c r="B29" i="1" s="1"/>
  <c r="B30" i="1" a="1"/>
  <c r="B30" i="1" s="1"/>
  <c r="B31" i="1" a="1"/>
  <c r="B31" i="1" s="1"/>
  <c r="B32" i="1" a="1"/>
  <c r="B32" i="1" s="1"/>
  <c r="B33" i="1" a="1"/>
  <c r="B33" i="1" s="1"/>
  <c r="B34" i="1" a="1"/>
  <c r="B34" i="1" s="1"/>
  <c r="B35" i="1" a="1"/>
  <c r="B35" i="1" s="1"/>
  <c r="B36" i="1" a="1"/>
  <c r="B36" i="1" s="1"/>
  <c r="B37" i="1" a="1"/>
  <c r="B37" i="1" s="1"/>
  <c r="B38" i="1" a="1"/>
  <c r="B38" i="1" s="1"/>
  <c r="B39" i="1" a="1"/>
  <c r="B39" i="1" s="1"/>
  <c r="B15" i="1" a="1"/>
  <c r="B15" i="1" s="1"/>
  <c r="B7" i="1" a="1"/>
  <c r="B7" i="1" s="1"/>
  <c r="B8" i="1" a="1"/>
  <c r="B8" i="1" s="1"/>
  <c r="B9" i="1" a="1"/>
  <c r="B9" i="1" s="1"/>
  <c r="B10" i="1" a="1"/>
  <c r="B10" i="1" s="1"/>
  <c r="B11" i="1" a="1"/>
  <c r="B11" i="1" s="1"/>
  <c r="B12" i="1" a="1"/>
  <c r="B12" i="1" s="1"/>
  <c r="B13" i="1" a="1"/>
  <c r="B13" i="1" s="1"/>
  <c r="B14" i="1" a="1"/>
  <c r="B14" i="1" s="1"/>
  <c r="B6" i="1" a="1"/>
  <c r="B6" i="1" s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6" i="1" l="1"/>
</calcChain>
</file>

<file path=xl/sharedStrings.xml><?xml version="1.0" encoding="utf-8"?>
<sst xmlns="http://schemas.openxmlformats.org/spreadsheetml/2006/main" count="8004" uniqueCount="1859">
  <si>
    <t>General information</t>
  </si>
  <si>
    <t>Target Group</t>
  </si>
  <si>
    <t>Notes on technical documentation</t>
  </si>
  <si>
    <t>Machine assignment</t>
  </si>
  <si>
    <t>Customer Service</t>
  </si>
  <si>
    <t>Copyright</t>
  </si>
  <si>
    <t>Notes on reading this manual</t>
  </si>
  <si>
    <t>Safety information</t>
  </si>
  <si>
    <t>Purpose of safety information</t>
  </si>
  <si>
    <t>Intended use</t>
  </si>
  <si>
    <t>Reasonably foreseeable misuse</t>
  </si>
  <si>
    <t>Obligations of the operator</t>
  </si>
  <si>
    <t>Personnel requirements</t>
  </si>
  <si>
    <t>Protective equipment</t>
  </si>
  <si>
    <t>Hazardous areas and identification of these areas</t>
  </si>
  <si>
    <t>Warning signs</t>
  </si>
  <si>
    <t>Mounting location of signs</t>
  </si>
  <si>
    <t>Safety equipment</t>
  </si>
  <si>
    <t>Emergency stop</t>
  </si>
  <si>
    <t>Relief valve to relieve excessively high pressure</t>
  </si>
  <si>
    <t>Installation location of safety equipment</t>
  </si>
  <si>
    <t>Equipment for disconnecting and securing</t>
  </si>
  <si>
    <t>Conduct in hazardous situations and in the event of an accident</t>
  </si>
  <si>
    <t>Operating statuses</t>
  </si>
  <si>
    <t>Deenergized machine</t>
  </si>
  <si>
    <t>Operating status OFF</t>
  </si>
  <si>
    <t>Operating status ON</t>
  </si>
  <si>
    <t>Pressure tanks</t>
  </si>
  <si>
    <t>Residual risks</t>
  </si>
  <si>
    <t>Layout and function</t>
  </si>
  <si>
    <t>Cleaning system</t>
  </si>
  <si>
    <t>Tanks (area CR71, CR72, CR75)</t>
  </si>
  <si>
    <t>Detergent concentrate dosing station</t>
  </si>
  <si>
    <t>Detergent and steam circuit (area CR70)</t>
  </si>
  <si>
    <t>Detergent and steam circuit (CR69 area)</t>
  </si>
  <si>
    <t>Heater for fresh water (area CR84)</t>
  </si>
  <si>
    <t>Heater for fresh water (area CR83)</t>
  </si>
  <si>
    <t>Control air supply</t>
  </si>
  <si>
    <t>Signaling equipment</t>
  </si>
  <si>
    <t>Operating controls</t>
  </si>
  <si>
    <t>Workstation</t>
  </si>
  <si>
    <t>Measuring, control and regulating equipment</t>
  </si>
  <si>
    <t>Switch cabinet</t>
  </si>
  <si>
    <t>Machine control</t>
  </si>
  <si>
    <t>Cleaning control</t>
  </si>
  <si>
    <t>Pneumatics</t>
  </si>
  <si>
    <t>Electrical system</t>
  </si>
  <si>
    <t>Assembly</t>
  </si>
  <si>
    <t>Safety instructions</t>
  </si>
  <si>
    <t>Check the items included in the delivery and inspect the shipment</t>
  </si>
  <si>
    <t>Transportation</t>
  </si>
  <si>
    <t>Installation</t>
  </si>
  <si>
    <t>Connection</t>
  </si>
  <si>
    <t>Commissioning</t>
  </si>
  <si>
    <t>Decommissioning</t>
  </si>
  <si>
    <t>Storage</t>
  </si>
  <si>
    <t>Disposal</t>
  </si>
  <si>
    <t>Operation</t>
  </si>
  <si>
    <t>Emergency stop switch</t>
  </si>
  <si>
    <t>Signal lamp</t>
  </si>
  <si>
    <t>Signal horn</t>
  </si>
  <si>
    <t>Operator console</t>
  </si>
  <si>
    <t>Keypad</t>
  </si>
  <si>
    <t>Main switch</t>
  </si>
  <si>
    <t>Manual shut-off valves</t>
  </si>
  <si>
    <t>Preparing for operation</t>
  </si>
  <si>
    <t>Opening and setting the control air supply</t>
  </si>
  <si>
    <t>Switching on the power supply</t>
  </si>
  <si>
    <t>Switching on the control voltage</t>
  </si>
  <si>
    <t>Switching on the data recorder</t>
  </si>
  <si>
    <t>Preparing the machine</t>
  </si>
  <si>
    <t>Cleaning external machines/systems</t>
  </si>
  <si>
    <t>Prerequisites</t>
  </si>
  <si>
    <t>Preparation</t>
  </si>
  <si>
    <t>Execution</t>
  </si>
  <si>
    <t>Ending production</t>
  </si>
  <si>
    <t>Cleaning the CIP system</t>
  </si>
  <si>
    <t>Taking the machine out of operation</t>
  </si>
  <si>
    <t>Subsequent preparation of the machine</t>
  </si>
  <si>
    <t>Switching off the data recorder</t>
  </si>
  <si>
    <t>Switching off the control voltage</t>
  </si>
  <si>
    <t>Switching off the power supply</t>
  </si>
  <si>
    <t>Closing the control air supply</t>
  </si>
  <si>
    <t>Servicing</t>
  </si>
  <si>
    <t>Adhering to regulations</t>
  </si>
  <si>
    <t>Disconnecting and securing</t>
  </si>
  <si>
    <t>Emptying the machine</t>
  </si>
  <si>
    <t>Filling the machine with water</t>
  </si>
  <si>
    <t>Maintenance</t>
  </si>
  <si>
    <t>Notes on maintenance practices</t>
  </si>
  <si>
    <t>Requirements</t>
  </si>
  <si>
    <t>Maintenance schedule</t>
  </si>
  <si>
    <t>Checking the function of the emergency stop switch</t>
  </si>
  <si>
    <t>Servicing the pressure tank</t>
  </si>
  <si>
    <t>Performing a lamp test</t>
  </si>
  <si>
    <t>Maintaining seals</t>
  </si>
  <si>
    <t>Tighten the milk pipe joints</t>
  </si>
  <si>
    <t>Maintaining purchased parts</t>
  </si>
  <si>
    <t>Cleaning surfaces</t>
  </si>
  <si>
    <t>Repairs</t>
  </si>
  <si>
    <t>Faults</t>
  </si>
  <si>
    <t>Detecting faults</t>
  </si>
  <si>
    <t>Rectifying faults</t>
  </si>
  <si>
    <t>Technical data</t>
  </si>
  <si>
    <t>Environment requirements</t>
  </si>
  <si>
    <t>Media requirements</t>
  </si>
  <si>
    <t>Explanation of terms</t>
  </si>
  <si>
    <t>Water</t>
  </si>
  <si>
    <t>Air</t>
  </si>
  <si>
    <t>Steam</t>
  </si>
  <si>
    <t>Cleaning recommendations</t>
  </si>
  <si>
    <t>Hygiene of surrounding area (floor, walls, gullies, belts)</t>
  </si>
  <si>
    <t>External cleaning: Selected machines</t>
  </si>
  <si>
    <t>Passivation</t>
  </si>
  <si>
    <t>Machine specifications</t>
  </si>
  <si>
    <t>Supply data</t>
  </si>
  <si>
    <t>Flow rates for the machines</t>
  </si>
  <si>
    <t>Settings</t>
  </si>
  <si>
    <t>Noise emissions</t>
  </si>
  <si>
    <t>Compatibility of materials</t>
  </si>
  <si>
    <t>Characteristics of the sealing materials</t>
  </si>
  <si>
    <t>Installation plan</t>
  </si>
  <si>
    <t>Area CR69</t>
  </si>
  <si>
    <t>Piping and instrumentation diagram (P&amp;ID)</t>
  </si>
  <si>
    <t>Legend</t>
  </si>
  <si>
    <t>Appendix</t>
  </si>
  <si>
    <t>CIP 1-2000/3-10000/55-55/A</t>
  </si>
  <si>
    <t>Mandatory signs</t>
  </si>
  <si>
    <t>Protective grating</t>
  </si>
  <si>
    <t>Insulation</t>
  </si>
  <si>
    <t>Tanks (areas CR72, CR73, CR74, CR75)</t>
  </si>
  <si>
    <t>Area CR69 and CR70 supply</t>
  </si>
  <si>
    <t>Graphical user interface</t>
  </si>
  <si>
    <t>Main window</t>
  </si>
  <si>
    <t>Favorites</t>
  </si>
  <si>
    <t>Logging in and logging out</t>
  </si>
  <si>
    <t>Main menu</t>
  </si>
  <si>
    <t>Labeling of equipment for disconnecting and securing</t>
  </si>
  <si>
    <t>CIP 1-3000/3-10000/45-45/A</t>
  </si>
  <si>
    <t>Prohibitory signs</t>
  </si>
  <si>
    <t>Detergent circuit (area CR70)</t>
  </si>
  <si>
    <t>Steam circuit (area CR70)</t>
  </si>
  <si>
    <t>Distributor (area CR70)</t>
  </si>
  <si>
    <t>Remote access for Remote Diagnostic Service (ReDiS)</t>
  </si>
  <si>
    <t>[ReDiS] key switch</t>
  </si>
  <si>
    <t>Distributor</t>
  </si>
  <si>
    <t>Distributor in the media feed</t>
  </si>
  <si>
    <t>Terminating</t>
  </si>
  <si>
    <t>Maintaining the seals</t>
  </si>
  <si>
    <t>Electrical energy</t>
  </si>
  <si>
    <t>Detergent</t>
  </si>
  <si>
    <t>Media connection list</t>
  </si>
  <si>
    <t>CIP 1-1000/3-6000/20/A</t>
  </si>
  <si>
    <t>Informações gerais</t>
  </si>
  <si>
    <t>Grupo-alvo</t>
  </si>
  <si>
    <t>Informações sobre a documentação técnica</t>
  </si>
  <si>
    <t>Atribuição da máquina</t>
  </si>
  <si>
    <t>Assistência ao cliente</t>
  </si>
  <si>
    <t>Direitos autorais</t>
  </si>
  <si>
    <t xml:space="preserve">Avisos para a leitura </t>
  </si>
  <si>
    <t>Segurança</t>
  </si>
  <si>
    <t>Função de avisos de segurança</t>
  </si>
  <si>
    <t>Utilização prevista</t>
  </si>
  <si>
    <t>Possibilidades de uso incorreto</t>
  </si>
  <si>
    <t>Deveres do operador</t>
  </si>
  <si>
    <t>Requisitos relativos ao pessoal</t>
  </si>
  <si>
    <t>Equipamento de proteção</t>
  </si>
  <si>
    <t>Áreas de risco e sua identificação</t>
  </si>
  <si>
    <t>Sinais de aviso</t>
  </si>
  <si>
    <t>Sinais de obrigação</t>
  </si>
  <si>
    <t>Localização dos sinais</t>
  </si>
  <si>
    <t>Dispositivos de proteção</t>
  </si>
  <si>
    <t>Parada de emergência</t>
  </si>
  <si>
    <t>Válvula de segurança contra sobrepressão não permitida</t>
  </si>
  <si>
    <t>Localização dos dispositivos de proteção</t>
  </si>
  <si>
    <t>Dispositivos para desligamento e proteção</t>
  </si>
  <si>
    <t>Conduta em situações de perigo e acidentes</t>
  </si>
  <si>
    <t>Estados operacionais</t>
  </si>
  <si>
    <t>Máquina desbloqueada</t>
  </si>
  <si>
    <t>Estado operacional desligado</t>
  </si>
  <si>
    <t>Estado operacional ligado</t>
  </si>
  <si>
    <t>Riscos residuais</t>
  </si>
  <si>
    <t>Estrutura e funcionamento</t>
  </si>
  <si>
    <t>Sistema de limpeza</t>
  </si>
  <si>
    <t>Tanques (área CR72, CR73, CR74, CR75)</t>
  </si>
  <si>
    <t>Estação de dosagem de concentrado de produto de limpeza</t>
  </si>
  <si>
    <t>Tanque de produtos de limpeza (Área CR70)</t>
  </si>
  <si>
    <t>Circuito de vapor (área CR70)</t>
  </si>
  <si>
    <t>Abastecimento de ar de controle</t>
  </si>
  <si>
    <t>Dispositivos de aviso</t>
  </si>
  <si>
    <t>Dispositivos de comando</t>
  </si>
  <si>
    <t>Console de operação</t>
  </si>
  <si>
    <t>Interface gráfica do usuário</t>
  </si>
  <si>
    <t>Tela principal</t>
  </si>
  <si>
    <t>Favoritos</t>
  </si>
  <si>
    <t>Logon e logoff</t>
  </si>
  <si>
    <t>Menu principal</t>
  </si>
  <si>
    <t>Posto de trabalho</t>
  </si>
  <si>
    <t>Tecnologia de medição, controle e regulagem</t>
  </si>
  <si>
    <t>Armário de distribuição</t>
  </si>
  <si>
    <t>Comando da máquina</t>
  </si>
  <si>
    <t>Comando da limpeza</t>
  </si>
  <si>
    <t>Sistema pneumático</t>
  </si>
  <si>
    <t>Parte elétrica</t>
  </si>
  <si>
    <t>Montagem</t>
  </si>
  <si>
    <t>Avisos de segurança</t>
  </si>
  <si>
    <t>Verificar o volume de fornecimento e executar a inspeção de entrega</t>
  </si>
  <si>
    <t>Transporte</t>
  </si>
  <si>
    <t>Montar</t>
  </si>
  <si>
    <t>Ligar</t>
  </si>
  <si>
    <t>Colocar em funcionamento</t>
  </si>
  <si>
    <t>Desligar</t>
  </si>
  <si>
    <t>Armazenamento</t>
  </si>
  <si>
    <t>Descarte</t>
  </si>
  <si>
    <t>Operação</t>
  </si>
  <si>
    <t>Botão de parada de emergência</t>
  </si>
  <si>
    <t>Luzes de sinalização</t>
  </si>
  <si>
    <t>Sirene de aviso</t>
  </si>
  <si>
    <t>Interruptor principal</t>
  </si>
  <si>
    <t>Válvulas de bloqueio manual</t>
  </si>
  <si>
    <t>Estabelecer prontidão operacional</t>
  </si>
  <si>
    <t>Abrir e configurar a alimentação do ar controlado</t>
  </si>
  <si>
    <t>Ligar a alimentação de tensão</t>
  </si>
  <si>
    <t>Ligar tensão de comando</t>
  </si>
  <si>
    <t>Preparar a máquina</t>
  </si>
  <si>
    <t>Limpeza das máquinas/dos sistemas externos</t>
  </si>
  <si>
    <t>Requisitos</t>
  </si>
  <si>
    <t>Preparar</t>
  </si>
  <si>
    <t>Executar</t>
  </si>
  <si>
    <t>Encerrar</t>
  </si>
  <si>
    <t>Limpeza do sistema CIP</t>
  </si>
  <si>
    <t>Cancelar prontidão operacional</t>
  </si>
  <si>
    <t>Processar posteriormente a máquina</t>
  </si>
  <si>
    <t>Desligar a tensão de comando</t>
  </si>
  <si>
    <t>Desligar a alimentação de tensão</t>
  </si>
  <si>
    <t>Fechar a alimentação de ar de controle</t>
  </si>
  <si>
    <t>Manutenção</t>
  </si>
  <si>
    <t>Observar as normas</t>
  </si>
  <si>
    <t>Desconectar e proteger</t>
  </si>
  <si>
    <t>Esvaziar máquina</t>
  </si>
  <si>
    <t>Encher a máquina com água</t>
  </si>
  <si>
    <t>Manutenção preventiva</t>
  </si>
  <si>
    <t>Instruções sobre as práticas de manutenção preventiva</t>
  </si>
  <si>
    <t>Condições prévias</t>
  </si>
  <si>
    <t>Plano de manutenção preventiva</t>
  </si>
  <si>
    <t>Verificar o funcionamento interruptor de parada de emergência</t>
  </si>
  <si>
    <t>Executar teste de lâmpadas</t>
  </si>
  <si>
    <t>Vistoriar as vedações</t>
  </si>
  <si>
    <t>Apertar as uniões roscadas da tubulação de leite</t>
  </si>
  <si>
    <t>Manutenção de peças adquiridas</t>
  </si>
  <si>
    <t>Limpar superfícies</t>
  </si>
  <si>
    <t>Reparo</t>
  </si>
  <si>
    <t>Falhas</t>
  </si>
  <si>
    <t>Detectar</t>
  </si>
  <si>
    <t>Eliminar</t>
  </si>
  <si>
    <t>Dados técnicos</t>
  </si>
  <si>
    <t>Condições ambientais</t>
  </si>
  <si>
    <t>Requisitos para fluidos</t>
  </si>
  <si>
    <t>Explicação de termos</t>
  </si>
  <si>
    <t>Água</t>
  </si>
  <si>
    <t>Ar</t>
  </si>
  <si>
    <t>Vapor</t>
  </si>
  <si>
    <t>Recomendações de limpeza</t>
  </si>
  <si>
    <t>Higiene do ambiente (piso, paredes, ralos, esteiras)</t>
  </si>
  <si>
    <t>Limpeza externa: máquinas selecionadas</t>
  </si>
  <si>
    <t>Passivação</t>
  </si>
  <si>
    <t>Dados da máquina</t>
  </si>
  <si>
    <t>Valores de ajuste</t>
  </si>
  <si>
    <t>Emissão de ruído</t>
  </si>
  <si>
    <t>Identificação dos dispositivos para desligamento e proteção</t>
  </si>
  <si>
    <t>Compatibilidades dos materiais</t>
  </si>
  <si>
    <t>Características dos materiais de vedação</t>
  </si>
  <si>
    <t>Plano de montagem</t>
  </si>
  <si>
    <t>Fluxograma da tubulação e dos instrumentos (diagrama P&amp;ID)</t>
  </si>
  <si>
    <t>Legenda</t>
  </si>
  <si>
    <t>Anexo</t>
  </si>
  <si>
    <t>CIP 1-1000/3-3000/40/A</t>
  </si>
  <si>
    <t>Información general</t>
  </si>
  <si>
    <t>Grupo de destino</t>
  </si>
  <si>
    <t>Indicaciones sobre la documentación técnica</t>
  </si>
  <si>
    <t>Asignación de la máquina</t>
  </si>
  <si>
    <t>Servicio de atención al cliente</t>
  </si>
  <si>
    <t>Protección de la propiedad intelectual</t>
  </si>
  <si>
    <t xml:space="preserve">Indicaciones para la lectura </t>
  </si>
  <si>
    <t>Seguridad</t>
  </si>
  <si>
    <t>Función de las indicaciones de seguridad</t>
  </si>
  <si>
    <t>Utilización conforme al uso previsto</t>
  </si>
  <si>
    <t>Uso erróneo previsible del equipo</t>
  </si>
  <si>
    <t>Obligaciones del explotador</t>
  </si>
  <si>
    <t>Requerimientos respecto del personal</t>
  </si>
  <si>
    <t>Equipamiento de protección</t>
  </si>
  <si>
    <t>Áreas peligrosas y su señalización</t>
  </si>
  <si>
    <t>Símbolos de advertencia</t>
  </si>
  <si>
    <t>Símbolos de obligación</t>
  </si>
  <si>
    <t>Lugar de colocación de las identificaciones</t>
  </si>
  <si>
    <t>Dispositivos de protección</t>
  </si>
  <si>
    <t>Parada de emergencia</t>
  </si>
  <si>
    <t>Válvula de seguridad contra superación de presión no permitida</t>
  </si>
  <si>
    <t>Lugar de colocación de los dispositivos de protección</t>
  </si>
  <si>
    <t>Dispositivos para separar de las fuentes de energía y asegurar</t>
  </si>
  <si>
    <t>Comportamiento en caso de situaciones de peligro y accidentes</t>
  </si>
  <si>
    <t>Estados operativos</t>
  </si>
  <si>
    <t>Máquina desconectada de las fuentes de energía</t>
  </si>
  <si>
    <t>Estado operativo DESC</t>
  </si>
  <si>
    <t>Estado operativo CON</t>
  </si>
  <si>
    <t>Peligros residuales</t>
  </si>
  <si>
    <t>Estructura y función</t>
  </si>
  <si>
    <t>Equipo de limpieza</t>
  </si>
  <si>
    <t>Tanques (área CR72, CR74, CR75)</t>
  </si>
  <si>
    <t>Estación dosificadora del concentrado de producto limpiador</t>
  </si>
  <si>
    <t>Circuito de producto limpiador (área CR70)</t>
  </si>
  <si>
    <t>Distribuidor (área CR70)</t>
  </si>
  <si>
    <t>Suministro de aire de ajuste</t>
  </si>
  <si>
    <t>Dispositivos de operación</t>
  </si>
  <si>
    <t>Panel de operación</t>
  </si>
  <si>
    <t>Interfaz de operación gráfica</t>
  </si>
  <si>
    <t>Ventana principal</t>
  </si>
  <si>
    <t>Inicio de sesión y cierre de sesión</t>
  </si>
  <si>
    <t>Menú principal</t>
  </si>
  <si>
    <t>Lugar de trabajo</t>
  </si>
  <si>
    <t>Tecnología de medición, control y regulación</t>
  </si>
  <si>
    <t>Armario de distribución</t>
  </si>
  <si>
    <t>Control de la máquina</t>
  </si>
  <si>
    <t>Control de la limpieza</t>
  </si>
  <si>
    <t>Sistema neumático</t>
  </si>
  <si>
    <t>Sistema eléctrico</t>
  </si>
  <si>
    <t>Montaje</t>
  </si>
  <si>
    <t>Indicaciones de seguridad</t>
  </si>
  <si>
    <t>Verificación del volumen de suministro y realización de la inspección del transporte</t>
  </si>
  <si>
    <t>Transportar</t>
  </si>
  <si>
    <t>Conexión</t>
  </si>
  <si>
    <t>Puesta en servicio</t>
  </si>
  <si>
    <t>Puesta fuera de servicio</t>
  </si>
  <si>
    <t>Almacenamiento</t>
  </si>
  <si>
    <t>Eliminación de desechos</t>
  </si>
  <si>
    <t>Servicio</t>
  </si>
  <si>
    <t>Interruptor de parada de emergencia</t>
  </si>
  <si>
    <t>Piloto</t>
  </si>
  <si>
    <t>Bocina</t>
  </si>
  <si>
    <t>Válvulas de cierre manual</t>
  </si>
  <si>
    <t>Distribuidor</t>
  </si>
  <si>
    <t>Distribuidor en la alimentación de medios</t>
  </si>
  <si>
    <t>Poner la máquina en condiciones operativas</t>
  </si>
  <si>
    <t>Abrir y ajustar la alimentación del aire de ajuste</t>
  </si>
  <si>
    <t>Conectar el suministro de tensión</t>
  </si>
  <si>
    <t>Conectar tensión de mando</t>
  </si>
  <si>
    <t>Preparar la máquina</t>
  </si>
  <si>
    <t>Limpieza de máquinas/equipos externos</t>
  </si>
  <si>
    <t>Requisitos preliminares</t>
  </si>
  <si>
    <t>Ejecutar</t>
  </si>
  <si>
    <t>Finalizar</t>
  </si>
  <si>
    <t>Limpieza del equipo CIP</t>
  </si>
  <si>
    <t>Suprimir la disposición de servicio</t>
  </si>
  <si>
    <t>Repasar la máquina</t>
  </si>
  <si>
    <t>Desconectar la tensión de mando</t>
  </si>
  <si>
    <t>Desconectar el suministro de tensión</t>
  </si>
  <si>
    <t>Cerrar el suministro de aire de ajuste</t>
  </si>
  <si>
    <t>Mantenimiento y reparación</t>
  </si>
  <si>
    <t>Observar las prescripciones</t>
  </si>
  <si>
    <t>Separar de las fuentes de energía y asegurar</t>
  </si>
  <si>
    <t>Vaciar la máquina</t>
  </si>
  <si>
    <t>Llenar la máquina con agua</t>
  </si>
  <si>
    <t>Mantenimiento</t>
  </si>
  <si>
    <t>Indicaciones de mantenimiento</t>
  </si>
  <si>
    <t>Plan de mantenimiento</t>
  </si>
  <si>
    <t>Comprobar el funcionamiento del interruptor de parada de emergencia</t>
  </si>
  <si>
    <t>Efectuar la prueba de lámparas</t>
  </si>
  <si>
    <t>Mantener las juntas</t>
  </si>
  <si>
    <t>Apretar los racores roscados higiénicos</t>
  </si>
  <si>
    <t>Mantener las piezas de otros fabricantes</t>
  </si>
  <si>
    <t>Limpiar las superficies</t>
  </si>
  <si>
    <t>Reparación</t>
  </si>
  <si>
    <t>Fallas</t>
  </si>
  <si>
    <t>Detección</t>
  </si>
  <si>
    <t>Subsanar</t>
  </si>
  <si>
    <t>Datos técnicos</t>
  </si>
  <si>
    <t>Requerimiento al entorno</t>
  </si>
  <si>
    <t>Requerimientos respecto de los medios</t>
  </si>
  <si>
    <t>Explicación de los términos</t>
  </si>
  <si>
    <t>Agua</t>
  </si>
  <si>
    <t>Aire</t>
  </si>
  <si>
    <t>Recomendaciones de limpieza</t>
  </si>
  <si>
    <t>Higiene del entorno (pisos, paredes, drenajes, cintas)</t>
  </si>
  <si>
    <t>Limpieza exterior: máquinas seleccionadas</t>
  </si>
  <si>
    <t>Pasivación</t>
  </si>
  <si>
    <t>Datos de la máquina</t>
  </si>
  <si>
    <t>Datos de suministro</t>
  </si>
  <si>
    <t>Emisiones acústicas</t>
  </si>
  <si>
    <t>Identificación de los dispositivos para separar de las fuentes de energía y asegurar</t>
  </si>
  <si>
    <t>Compatibilidad de los materiales</t>
  </si>
  <si>
    <t>Características de los materiales de sellado</t>
  </si>
  <si>
    <t>Plan de instalación</t>
  </si>
  <si>
    <t>Diagrama de flujo de tuberías e instrumentos (Plan P&amp;ID)</t>
  </si>
  <si>
    <t>Leyenda</t>
  </si>
  <si>
    <t>Apéndice</t>
  </si>
  <si>
    <t>CIP C 1-1000/2-3000/30A</t>
  </si>
  <si>
    <t>Grupo destinatario</t>
  </si>
  <si>
    <t>Notas sobre la documentación técnica</t>
  </si>
  <si>
    <t>Uso conforme a lo previsto</t>
  </si>
  <si>
    <t>Uso indebido previsible dentro de lo razonable</t>
  </si>
  <si>
    <t>Obligaciones de la empresa usuaria</t>
  </si>
  <si>
    <t>Requisitos para el personal</t>
  </si>
  <si>
    <t>Equipos de protección personal</t>
  </si>
  <si>
    <t>Zonas de peligro y su identificación</t>
  </si>
  <si>
    <t>Señales de prohibición</t>
  </si>
  <si>
    <t>Señales de advertencia</t>
  </si>
  <si>
    <t>Señales de obligatoriedad</t>
  </si>
  <si>
    <t>Lugar de colocación de las señales</t>
  </si>
  <si>
    <t>Válvula de seguridad contra sobrepresión no permitida</t>
  </si>
  <si>
    <t>Dispositivos para desconexión y aseguramiento</t>
  </si>
  <si>
    <t>Procedimiento en caso de situaciones de peligro y accidentes</t>
  </si>
  <si>
    <t>Máquina desconectada</t>
  </si>
  <si>
    <t>Estado operativo de desconexión</t>
  </si>
  <si>
    <t>Estado operativo de conexión</t>
  </si>
  <si>
    <t>Estructura y funcionamiento</t>
  </si>
  <si>
    <t>Depósitos (zona CR72, CR74 y CR75)</t>
  </si>
  <si>
    <t>Estación dosificadora de concentrado del producto de limpieza</t>
  </si>
  <si>
    <t>Circuito de producto de limpieza (zona CR70)</t>
  </si>
  <si>
    <t>Circuito de vapor (zona CR70)</t>
  </si>
  <si>
    <t>Distribuidor (zona CR70)</t>
  </si>
  <si>
    <t>Suministro del rociado con agua caliente en la llenadora</t>
  </si>
  <si>
    <t>Suministro de aire de control</t>
  </si>
  <si>
    <t>Dispositivos de notificación</t>
  </si>
  <si>
    <t>Dispositivos de mando</t>
  </si>
  <si>
    <t>Panel de control</t>
  </si>
  <si>
    <t>Interfaz gráfica de usuario</t>
  </si>
  <si>
    <t>Inicio y cierre de sesión</t>
  </si>
  <si>
    <t>Puesto de trabajo</t>
  </si>
  <si>
    <t>Acceso remoto Servicio de diagnóstico (ReDiS)</t>
  </si>
  <si>
    <t>Comprobación del alcance de suministro e inspección de transporte</t>
  </si>
  <si>
    <t>Eliminación</t>
  </si>
  <si>
    <t>Funcionamiento</t>
  </si>
  <si>
    <t>Lámpara de señalización</t>
  </si>
  <si>
    <t>Interruptor de llave [ReDiS]</t>
  </si>
  <si>
    <t>Distribuidor de la entrada de fluidos</t>
  </si>
  <si>
    <t>Preparación para el funcionamiento</t>
  </si>
  <si>
    <t>Suministro de aire de pilotaje abierto y ajustado</t>
  </si>
  <si>
    <t>Conectar la alimentación de tensión</t>
  </si>
  <si>
    <t>Conexión de la tensión de mando</t>
  </si>
  <si>
    <t>Preparación de la máquina</t>
  </si>
  <si>
    <t>Limpieza de máquinas / equipos externos</t>
  </si>
  <si>
    <t>Preparación</t>
  </si>
  <si>
    <t>Ejecución</t>
  </si>
  <si>
    <t>Finalización</t>
  </si>
  <si>
    <t>Realice el rociado con agua caliente</t>
  </si>
  <si>
    <t>Limpieza de la instalación CIP</t>
  </si>
  <si>
    <t>Prepare el distribuidor para la siguiente producción</t>
  </si>
  <si>
    <t>Anulación de la preparación para el funcionamiento</t>
  </si>
  <si>
    <t>Comprobación de la máquina</t>
  </si>
  <si>
    <t>Desconexión de la tensión de mando</t>
  </si>
  <si>
    <t>Desconexión de la fuente de alimentación</t>
  </si>
  <si>
    <t>Cierre del suministro de aire de control</t>
  </si>
  <si>
    <t>Conservación</t>
  </si>
  <si>
    <t>Observancia de las prescripciones</t>
  </si>
  <si>
    <t>Desconexión y aseguramiento</t>
  </si>
  <si>
    <t>Vaciado de la máquina</t>
  </si>
  <si>
    <t>Llenado de la máquina con agua</t>
  </si>
  <si>
    <t>Comprobación del funcionamiento del interruptor de parada de emergencia</t>
  </si>
  <si>
    <t>Realización de la prueba de lámparas</t>
  </si>
  <si>
    <t>Mantenimiento de las juntas</t>
  </si>
  <si>
    <t>Apriete de los racores alimentarios</t>
  </si>
  <si>
    <t>Mantenimiento de piezas de otros fabricantes</t>
  </si>
  <si>
    <t>Limpieza de superficies</t>
  </si>
  <si>
    <t>Averías</t>
  </si>
  <si>
    <t>Solución</t>
  </si>
  <si>
    <t>Requisitos del entorno</t>
  </si>
  <si>
    <t>Requisitos de los fluidos</t>
  </si>
  <si>
    <t>Energía eléctrica</t>
  </si>
  <si>
    <t>Datos de alimentación</t>
  </si>
  <si>
    <t>Cantidades de salida de las máquinas</t>
  </si>
  <si>
    <t>Emisión de ruidos</t>
  </si>
  <si>
    <t>Identificación de los dispositivos para desconexión y aseguramiento</t>
  </si>
  <si>
    <t>Detergente</t>
  </si>
  <si>
    <t>Características de los materiales de juntas</t>
  </si>
  <si>
    <t>Certificados</t>
  </si>
  <si>
    <t>Declaración de conformidad CE</t>
  </si>
  <si>
    <t>Esquema de instalación</t>
  </si>
  <si>
    <t>Diagrama de flujo de tuberías e instrumentos (diagrama T&amp;I)</t>
  </si>
  <si>
    <t>CIP C 1-1000/2-4000/30/A</t>
  </si>
  <si>
    <t xml:space="preserve">Informações gerais </t>
  </si>
  <si>
    <t>Indicações sobre a documentação técnica</t>
  </si>
  <si>
    <t>Componentes integrados</t>
  </si>
  <si>
    <t xml:space="preserve">Indicações para a leitura </t>
  </si>
  <si>
    <t>Função das Instruções de Segurança</t>
  </si>
  <si>
    <t>Utilização incorreta previsível de modo razoável</t>
  </si>
  <si>
    <t>Requisitos impostos aos funcionários</t>
  </si>
  <si>
    <t>Áreas de perigo e sua identificação</t>
  </si>
  <si>
    <t>Local de colocação dos sinais</t>
  </si>
  <si>
    <t>Paragem de emergência</t>
  </si>
  <si>
    <t>Válvula de segurança contra um excesso de pressão não permitido</t>
  </si>
  <si>
    <t>Grelha de proteção</t>
  </si>
  <si>
    <t>Local de colocação dos dispositivos de proteção</t>
  </si>
  <si>
    <t>Dispositivos para desligar e proteger</t>
  </si>
  <si>
    <t>Comportamento em situações de perigo e acidentes</t>
  </si>
  <si>
    <t>Máquina ativada</t>
  </si>
  <si>
    <t>Estado de operação desligado</t>
  </si>
  <si>
    <t>Recipiente pressurizado</t>
  </si>
  <si>
    <t>Perigos residuais</t>
  </si>
  <si>
    <t>Circuito de produtos de limpeza (área CR70)</t>
  </si>
  <si>
    <t>Alimentação de ar de comando</t>
  </si>
  <si>
    <t>Bomba de retorno (área CR79)</t>
  </si>
  <si>
    <t>Sistema de medição, controlo e regulação</t>
  </si>
  <si>
    <t>Sistema elétrico</t>
  </si>
  <si>
    <t>Indicações de segurança</t>
  </si>
  <si>
    <t>Desativação</t>
  </si>
  <si>
    <t>Interruptor de paragem de emergência</t>
  </si>
  <si>
    <t>Luz de aviso</t>
  </si>
  <si>
    <t>Buzina de aviso</t>
  </si>
  <si>
    <t>Painel de controlo</t>
  </si>
  <si>
    <t>Botões</t>
  </si>
  <si>
    <t>Seletor na limpeza dos camiões cisterna</t>
  </si>
  <si>
    <t>Obter a prontidão operacional</t>
  </si>
  <si>
    <t>Abrir e ajustar a alimentação de ar de comando</t>
  </si>
  <si>
    <t>Ligar a tensão de comando</t>
  </si>
  <si>
    <t>Preparar máquina</t>
  </si>
  <si>
    <t>Limpeza de máquinas/sistemas externos</t>
  </si>
  <si>
    <t>Terminar</t>
  </si>
  <si>
    <t>Cancelar a prontidão operacional</t>
  </si>
  <si>
    <t>Preparar novamente a máquina</t>
  </si>
  <si>
    <t>Desligar tensão de comando</t>
  </si>
  <si>
    <t xml:space="preserve">Fechar a alimentação de ar de comando </t>
  </si>
  <si>
    <t>Conservação</t>
  </si>
  <si>
    <t>Separar e fixar</t>
  </si>
  <si>
    <t>Esvaziar a máquina</t>
  </si>
  <si>
    <t>Abastecer a máquina com água</t>
  </si>
  <si>
    <t>Indicações sobre as práticas de manutenção</t>
  </si>
  <si>
    <t>Plano de manutenção</t>
  </si>
  <si>
    <t>Verificar o funcionamento do interruptor de paragem de emergência</t>
  </si>
  <si>
    <t>Fazer a manutenção do recipiente pressurizado</t>
  </si>
  <si>
    <t>Realizar o teste das lâmpadas</t>
  </si>
  <si>
    <t>Manter vedantes</t>
  </si>
  <si>
    <t>Apertar as uniões roscadas</t>
  </si>
  <si>
    <t>Proceder à manutenção de peças adquiridas</t>
  </si>
  <si>
    <t>Reparação</t>
  </si>
  <si>
    <t>Avarias</t>
  </si>
  <si>
    <t>Detetar</t>
  </si>
  <si>
    <t>Exigências relativas ao meio</t>
  </si>
  <si>
    <t>Higiene do entorno (chão, paredes, drenos, fitas)</t>
  </si>
  <si>
    <t>Limpeza exterior: máquinas selecionadas</t>
  </si>
  <si>
    <t>Identificação dos dispositivos para desligar e proteger</t>
  </si>
  <si>
    <t>Compatibilidade química</t>
  </si>
  <si>
    <t>Propriedades do material da vedação</t>
  </si>
  <si>
    <t>Declaração de conformidade CE</t>
  </si>
  <si>
    <t>Esquema de instalação</t>
  </si>
  <si>
    <t>Fluxograma de tubagens e instrumentos (esquema P&amp;ID)</t>
  </si>
  <si>
    <t>CIP 1-1000/2-10000/70/A</t>
  </si>
  <si>
    <t>Uso incorreto razoavelmente previsível</t>
  </si>
  <si>
    <t>Dispositivos para isolamento e bloqueio de energias</t>
  </si>
  <si>
    <t>Console de controle</t>
  </si>
  <si>
    <t>Isolamento e bloqueio de energias</t>
  </si>
  <si>
    <t>Dados de alimentação</t>
  </si>
  <si>
    <t>Sinalização dos dispositivos de isolamento e bloqueio de energias</t>
  </si>
  <si>
    <t>Identificação da máquina</t>
  </si>
  <si>
    <t>Grade protetora</t>
  </si>
  <si>
    <t>Isolamento</t>
  </si>
  <si>
    <t>Conduta em situações perigosas e acidentes</t>
  </si>
  <si>
    <t>Máquina desenergizada</t>
  </si>
  <si>
    <t>Estado operacional Desligado</t>
  </si>
  <si>
    <t>Estado operacional Ligado</t>
  </si>
  <si>
    <t>Recipientes pressurizados</t>
  </si>
  <si>
    <t>Circuito de produto de limpeza (área CR70)</t>
  </si>
  <si>
    <t>Alimentação de água quente ao enxágue da tampadora</t>
  </si>
  <si>
    <t>Alimentação do ar de controle</t>
  </si>
  <si>
    <t>Console</t>
  </si>
  <si>
    <t>Login e logoff</t>
  </si>
  <si>
    <t>Sinalizador tipo coluna</t>
  </si>
  <si>
    <t>Abrir e configurar a alimentação do ar de controle</t>
  </si>
  <si>
    <t>Lista de pequenas intervenções</t>
  </si>
  <si>
    <t>Efetuar o enxágue com água quente</t>
  </si>
  <si>
    <t>Fechar a alimentação do ar de controle</t>
  </si>
  <si>
    <t>Drenar a máquina</t>
  </si>
  <si>
    <t>Verificar o funcionamento do botão de parada de emergência</t>
  </si>
  <si>
    <t>Vistoriar recipientes pressurizados</t>
  </si>
  <si>
    <t>Quantidades de escoamento das máquinas</t>
  </si>
  <si>
    <t>Plano de instalação</t>
  </si>
  <si>
    <t>CIP 1-1000/3-12000/55/A</t>
  </si>
  <si>
    <t>Sumario 0.1</t>
  </si>
  <si>
    <t>1. Informacion General 1.1</t>
  </si>
  <si>
    <t>1.1 Grupo de destino 1.1</t>
  </si>
  <si>
    <t>1.2 Indicaciones sobre la documentación técnica 1.1</t>
  </si>
  <si>
    <t>1.3 Placa de características 1.2</t>
  </si>
  <si>
    <t>1.4 Lugar de colocación 1.3</t>
  </si>
  <si>
    <t>1.5 Servicio de atención al cliente 1.4</t>
  </si>
  <si>
    <t>1.6 Protección de la propiedad intelectual 1.4</t>
  </si>
  <si>
    <t>1.7 Indicaciones para la lectura 1.4</t>
  </si>
  <si>
    <t>Representación de referencias y denominaciones 1.4</t>
  </si>
  <si>
    <t>Representación de instrucciones de procedimiento 1.4</t>
  </si>
  <si>
    <t>Representación de enumeraciones 1.4</t>
  </si>
  <si>
    <t>Representación de indicaciones 1.5</t>
  </si>
  <si>
    <t>2. Información de seguridad 2.1</t>
  </si>
  <si>
    <t>2.1 Propósito de la información de seguridad 2.1</t>
  </si>
  <si>
    <t>2.2 Uso previsto 2.2</t>
  </si>
  <si>
    <t>2.3 Mal uso razonablemente previsible 2.3</t>
  </si>
  <si>
    <t>2.4 Obligaciones del operador 2.3</t>
  </si>
  <si>
    <t>2.5 Necesidades de personal 2.3</t>
  </si>
  <si>
    <t>2.6 Equipo de proteccion 2.7</t>
  </si>
  <si>
    <t>2.7 Las áreas peligrosas y la identificación de estas áreas 2.8</t>
  </si>
  <si>
    <t>2.7.1 Señales de advertencia 2.9</t>
  </si>
  <si>
    <t>2.8 Equipo de Seguridad 2.10</t>
  </si>
  <si>
    <t>2.8.1 Parada de emergencia 2.10</t>
  </si>
  <si>
    <t>2.8.2 La válvula de seguridad para aliviar la presión excesiva 2.11</t>
  </si>
  <si>
    <t>2.8.3 Ubicación de la instalación de equipos de seguridad 2.12</t>
  </si>
  <si>
    <t>2.8.4 Equipo para aislar y proteger 2.13</t>
  </si>
  <si>
    <t>2.9 Procedimiento en situaciones de peligro y accidentes 2.16</t>
  </si>
  <si>
    <t>2.10 Estados de funcionamiento 2.16</t>
  </si>
  <si>
    <t>2.10.1 Máquina desconectada 2.17</t>
  </si>
  <si>
    <t>2.10.2 Estado operativo desconectado 2.17</t>
  </si>
  <si>
    <t>2.10.3 Estado operativo conectado 2.17</t>
  </si>
  <si>
    <t>2.11 Recipientes a presión 2.18</t>
  </si>
  <si>
    <t>2.12 Peligros residuales 2.21</t>
  </si>
  <si>
    <t>3. La estructura y la función 3.1</t>
  </si>
  <si>
    <t>3.1 Equipo de limpieza 3.1</t>
  </si>
  <si>
    <t>3.1.1 Depósitos (zona CR10, CR75, CR71, CR74, CR76, CR73, CR72, CR70,</t>
  </si>
  <si>
    <t>CR77) 3.3</t>
  </si>
  <si>
    <t>3.1.2 Dosificación de concentrado de producto de limpieza 3.5</t>
  </si>
  <si>
    <t>3.1.3 Área CR10 3.7</t>
  </si>
  <si>
    <t>3.1.4 Área CR70 3.8</t>
  </si>
  <si>
    <t>3.1.5 Área CR71 3.9</t>
  </si>
  <si>
    <t>3.1.6 Área CR74 3.10</t>
  </si>
  <si>
    <t>3.1.7 Área CR76 3.11</t>
  </si>
  <si>
    <t>3.1.8 Área CR73 3.12</t>
  </si>
  <si>
    <t>3.1.9 Área CR72 3.13</t>
  </si>
  <si>
    <t>3.1.10 Área CR77 3.14</t>
  </si>
  <si>
    <t>3.2 Dispositivos de notificación 3.15</t>
  </si>
  <si>
    <t>3.3 Dispositivos de mando 3.16</t>
  </si>
  <si>
    <t>3.4 Puesto de trabajo 3.17</t>
  </si>
  <si>
    <t>3.5 Equipos de medición, control y regulación 3.18</t>
  </si>
  <si>
    <t>3.5.1 Armario de distribución 3.18</t>
  </si>
  <si>
    <t>3.5.2 Control de la máquina 3.19</t>
  </si>
  <si>
    <t>3.5.3 Control de la limpieza 3.20</t>
  </si>
  <si>
    <t>3.5.4 Pneumatics 3.21</t>
  </si>
  <si>
    <t>4. Montaje 4.1</t>
  </si>
  <si>
    <t>4.1 Instrucciones de seguridad 4.1</t>
  </si>
  <si>
    <t>4.2 Comprobar los elementos incluidos en la entrega e inspeccionar el</t>
  </si>
  <si>
    <t>cargamento 4.2</t>
  </si>
  <si>
    <t>4.3 Transportar 4.2</t>
  </si>
  <si>
    <t>4.4 Instalación 4.3</t>
  </si>
  <si>
    <t>4.5 Conexión 4.3</t>
  </si>
  <si>
    <t>4.6 Puesta en marcha 4.4</t>
  </si>
  <si>
    <t>4.7 Desmantelamiento 4.4</t>
  </si>
  <si>
    <t>4.8 Almacenamiento 4.5</t>
  </si>
  <si>
    <t>4.9 Almacenamiento 4.7</t>
  </si>
  <si>
    <t>5. Operación 5.1</t>
  </si>
  <si>
    <t>5.1 Instrucciones de seguridad 5.1</t>
  </si>
  <si>
    <t>5.2 Equipo de seguridad 5.3</t>
  </si>
  <si>
    <t>5.2.1 Interruptor de parada de emergencia 5.3</t>
  </si>
  <si>
    <t>5.3 Equipo de señalización 5.6</t>
  </si>
  <si>
    <t>5.3.1 Lámpara de señal 5.6</t>
  </si>
  <si>
    <t>5.3.2 Bocina 5.7</t>
  </si>
  <si>
    <t>5.4 Controles de operación 5.7</t>
  </si>
  <si>
    <t>5.4.1 Consola de operador 5.7</t>
  </si>
  <si>
    <t>5.4.2 Campo de pulsadores 5.78</t>
  </si>
  <si>
    <t>5.4.3 Interruptor principal 5.79</t>
  </si>
  <si>
    <t>5.5 Poner la máquina en condiciones operativas 5.80</t>
  </si>
  <si>
    <t>5.5.1 Abrir y ajustar la alimentación del aire de ajuste. 5.80</t>
  </si>
  <si>
    <t>5.5.2 Encender máquina 5.81</t>
  </si>
  <si>
    <t>5.5.3 Realizar la prueba de lámparas 5.82</t>
  </si>
  <si>
    <t>5.6 Limpieza de máquinas/equipos externos 5.82</t>
  </si>
  <si>
    <t>5.6.1 Indicaciones de seguridad 5.83</t>
  </si>
  <si>
    <t>5.6.2 Requisitos preliminares 5.85</t>
  </si>
  <si>
    <t>5.6.3 Preparar 5.85</t>
  </si>
  <si>
    <t>7. Fallos 7.1</t>
  </si>
  <si>
    <t>7.1 Instrucciones de seguridad 7.1</t>
  </si>
  <si>
    <t>7.2 La detección de fallos 7.3</t>
  </si>
  <si>
    <t>7.3 Eliminación de errores 7.4</t>
  </si>
  <si>
    <t>Anexo 0.1</t>
  </si>
  <si>
    <t>Figuras 0.1</t>
  </si>
  <si>
    <t>Segurança 0.1</t>
  </si>
  <si>
    <t>2.8.4 Equipo para aislar y proteger 2.14</t>
  </si>
  <si>
    <t>2.9 Procedimiento en situaciones de peligro y accidentes 2.17</t>
  </si>
  <si>
    <t>2.10 Estados de funcionamiento 2.17</t>
  </si>
  <si>
    <t>2.10.1 Máquina desconectada 2.18</t>
  </si>
  <si>
    <t>2.10.2 Estado operativo desconectado 2.18</t>
  </si>
  <si>
    <t>2.10.3 Estado operativo conectado 2.18</t>
  </si>
  <si>
    <t>2.11 Recipientes a presión 2.19</t>
  </si>
  <si>
    <t>2.12 Peligros residuales 2.22</t>
  </si>
  <si>
    <t>3.1.1 Depósitos (zona, CR71, CR74, CR76, CR72, CR70) 3.3</t>
  </si>
  <si>
    <t>3.1.2 Dosificación de concentrado de producto de limpieza 3.4</t>
  </si>
  <si>
    <t>3.2 Dispositivos de notificación 3.6</t>
  </si>
  <si>
    <t>3.3 Dispositivos de mando 3.7</t>
  </si>
  <si>
    <t>3.4 Puesto de trabajo 3.8</t>
  </si>
  <si>
    <t>3.5 Equipos de medición, control y regulación 3.10</t>
  </si>
  <si>
    <t>3.5.1 Armario de distribución 3.10</t>
  </si>
  <si>
    <t>3.5.2 Control de la máquina 3.11</t>
  </si>
  <si>
    <t>3.5.3 Control de la limpieza 3.12</t>
  </si>
  <si>
    <t>3.5.4 Pneumatics 3.13</t>
  </si>
  <si>
    <t>4.7 Desmantelamiento 4.5</t>
  </si>
  <si>
    <t>4.8 Almacenamiento 4.6</t>
  </si>
  <si>
    <t>8. Mantenimiento 8.1</t>
  </si>
  <si>
    <t>8.1 Los requisitos para un entorno 8.1</t>
  </si>
  <si>
    <t>8.2 Requisitos de medios 8.1</t>
  </si>
  <si>
    <t>8.2.1 Explicación de términos 8.2</t>
  </si>
  <si>
    <t>8.2.2 Agua 8.3</t>
  </si>
  <si>
    <t>8.2.3 Aire 8.6</t>
  </si>
  <si>
    <t>8.2.4 Vapor 8.7</t>
  </si>
  <si>
    <t>8.2.5 Productos disponibles para ser llenados Información general 8.8</t>
  </si>
  <si>
    <t>8.2.6 Recomendaciones de limpieza 8.10</t>
  </si>
  <si>
    <t>6. Plan de mantenimiento</t>
  </si>
  <si>
    <t>6.1 Plan de mantenimiento</t>
  </si>
  <si>
    <t>8.3 Operación 8.31</t>
  </si>
  <si>
    <t>8.3.1 Especificaciones de la máquina 8.31</t>
  </si>
  <si>
    <t>8.3.2 Datos de suministro 8.33</t>
  </si>
  <si>
    <t>Mantenimiento 8.1</t>
  </si>
  <si>
    <t>8.3.3 Ajustes 8.34</t>
  </si>
  <si>
    <t>8.3.4 Emisiones de ruido 8.34</t>
  </si>
  <si>
    <t>8.4 Mantenimiento 8.36</t>
  </si>
  <si>
    <t>8.4.1 Compatibilidad de los materiales 8.36</t>
  </si>
  <si>
    <t>8.5 Plan de instalación 8.37</t>
  </si>
  <si>
    <t>8.6 Diagrama de instrumentos y tuberias 8.38</t>
  </si>
  <si>
    <t>8.7 Pasivación 8.39</t>
  </si>
  <si>
    <t>8.8 Fluxograma 8.40</t>
  </si>
  <si>
    <t>8.9 Leyenda 8.41</t>
  </si>
  <si>
    <t>Sumario</t>
  </si>
  <si>
    <t>1 Informacion General 1-1</t>
  </si>
  <si>
    <t>1.1 Grupo de destino 1-1</t>
  </si>
  <si>
    <t>1.2 Indicaciones sobre la documentación técnica 1-1</t>
  </si>
  <si>
    <t>1.2.1 Respecto de la documentación técnica tiene validez 1-2</t>
  </si>
  <si>
    <t>1.3 Placa de características 1-2</t>
  </si>
  <si>
    <t>1.4 Servicio de atención al cliente 1-3</t>
  </si>
  <si>
    <t>1.5 Protección de la propiedad intelectual 1-3</t>
  </si>
  <si>
    <t>1.6 Indicaciones para la lectura 1-3</t>
  </si>
  <si>
    <t>1.6.1 Representación de referencias y denominaciones 1-3</t>
  </si>
  <si>
    <t>1.6.2 Representación de instrucciones de procedimiento 1-4</t>
  </si>
  <si>
    <t>1.6.3 Representación de enumeraciones 1-4</t>
  </si>
  <si>
    <t>1.7 Representación de indicaciones 1-4</t>
  </si>
  <si>
    <t>2 Información de Seguridad 2-1</t>
  </si>
  <si>
    <t>2.1 Propósito de la información de seguridad 2-1</t>
  </si>
  <si>
    <t>2.2 Uso conforme a lo previsto 2-2</t>
  </si>
  <si>
    <t>2.3 Uso indebido previsible dentro de lo razonable 2-2</t>
  </si>
  <si>
    <t>2.4 Obligaciones de la empresa usuaria 2-3</t>
  </si>
  <si>
    <t>2.5 Requisitos para el personal 2-3</t>
  </si>
  <si>
    <t>2.5.1 Personal autorizado para el teleservicio 2-5</t>
  </si>
  <si>
    <t>2.5.2 Personal de laboratorio 2-5</t>
  </si>
  <si>
    <t>2.5.3 Personal de reparación 2-6</t>
  </si>
  <si>
    <t>2.5.4 Personal de servicio 2-7</t>
  </si>
  <si>
    <t>2.6 Equipos de protección personal 2-8</t>
  </si>
  <si>
    <t>2.7 Zonas de peligro y su identificación 2-8</t>
  </si>
  <si>
    <t>2.7.1 Señales de prohibición 2-9</t>
  </si>
  <si>
    <t>2.7.2 Señales de advertencia 2-9</t>
  </si>
  <si>
    <t>2.7.3 Señales de obligatoriedad 2-9</t>
  </si>
  <si>
    <t>2.7.4 Lugar de colocación de las señales 2-10</t>
  </si>
  <si>
    <t>2.8 Dispositivos de protección 2-11</t>
  </si>
  <si>
    <t>2.8.1 Parada de emergencia 2-11</t>
  </si>
  <si>
    <t>2.8.2 Válvula de seguridad contra sobrepresión no</t>
  </si>
  <si>
    <t>permitida</t>
  </si>
  <si>
    <t>2.8.3 Lugar de colocación de los dispositivos de</t>
  </si>
  <si>
    <t>protección</t>
  </si>
  <si>
    <t>2.8.4 Dispositivos para desconexión y aseguramiento 2-14</t>
  </si>
  <si>
    <t>2.9 Procedimiento en caso de situaciones de peligro y acidentes 2-16</t>
  </si>
  <si>
    <t>2.10 Estados de operativos 2-17</t>
  </si>
  <si>
    <t>2.10.1 Máquina desconectada 2-17</t>
  </si>
  <si>
    <t>2.10.2 Estado operativo de desconexión 2-17</t>
  </si>
  <si>
    <t>2.10.3 Estado operativo de conexión 2-18</t>
  </si>
  <si>
    <t>2.11 Peligros residuales 2-18</t>
  </si>
  <si>
    <t>3 Estructura y funcionamiento 3-1</t>
  </si>
  <si>
    <t>3.1 Equipo de limpieza CIP 3-3</t>
  </si>
  <si>
    <t>3.1.1 Dosificación de concentrado de producto de</t>
  </si>
  <si>
    <t>limpieza</t>
  </si>
  <si>
    <t>3.2 Dispositivos de notificación 3-6</t>
  </si>
  <si>
    <t>3.3 Circuito de producto de limpieza 3-7</t>
  </si>
  <si>
    <t>3.4 Circuito de vapor 3-9</t>
  </si>
  <si>
    <t>3.5 Puesto de trabajo 3-11</t>
  </si>
  <si>
    <t>3.6 Espacio de trabajo 3-12</t>
  </si>
  <si>
    <t>3.7 Equipos de medición, control y regulación 3-13</t>
  </si>
  <si>
    <t>3.7.1 Armario de distribución 3-13</t>
  </si>
  <si>
    <t>3.7.2 Control de la máquina 3-14</t>
  </si>
  <si>
    <t>3.7.3 Control de la limpieza 3-15</t>
  </si>
  <si>
    <t>3.7.4 Pneumatics 3-16</t>
  </si>
  <si>
    <t>3.7.5 Los equipos de vigilancia 3-19</t>
  </si>
  <si>
    <t>4 Montaje 4-1</t>
  </si>
  <si>
    <t>4.1 Verificación del volumen de suministro y realización de la</t>
  </si>
  <si>
    <t>inspección del transporte</t>
  </si>
  <si>
    <t>4.2 Transportar 4-2</t>
  </si>
  <si>
    <t>4.3 Instalación 4-3</t>
  </si>
  <si>
    <t>4.4 Conexión 4-4</t>
  </si>
  <si>
    <t>4.5 Puesta en marcha 4-5</t>
  </si>
  <si>
    <t>4.6 Puesta fuera de servicio 4-6</t>
  </si>
  <si>
    <t>4.7 Almacenamiento 4-6</t>
  </si>
  <si>
    <t>4.8 Restablecimiento del servicio 4-7</t>
  </si>
  <si>
    <t>4.9 Eliminación de desechos 4-8</t>
  </si>
  <si>
    <t>5 Operación 5-1</t>
  </si>
  <si>
    <t>5.1 Panel de control 5-1</t>
  </si>
  <si>
    <t>5.2 Parte posterior 5-4</t>
  </si>
  <si>
    <t>5.3 Interfaz gráfica de usuario 5-5</t>
  </si>
  <si>
    <t>5.3.1 Ventana principal 5-5</t>
  </si>
  <si>
    <t>5.3.2 Barra de título 5-6</t>
  </si>
  <si>
    <t>5.3.3 Barra de estado 5-6</t>
  </si>
  <si>
    <t>5.3.4 Área de trabajo 5-10</t>
  </si>
  <si>
    <t>5.3.5 Barra de herramientas 5-14</t>
  </si>
  <si>
    <t>5.3.6 Navegación 5-16</t>
  </si>
  <si>
    <t>5.3.7 Seleccionar otra línea, máquina o componente 5-17</t>
  </si>
  <si>
    <t>5.3.8 Funciones de la máquina 5-18</t>
  </si>
  <si>
    <t>5.3.9 Elementos de entrada 5-20</t>
  </si>
  <si>
    <t>5.4 Introducción del valor 5-21</t>
  </si>
  <si>
    <t>5.4.1 Elementos de salida 5-23</t>
  </si>
  <si>
    <t>5.4.2 Favoritos 5-23</t>
  </si>
  <si>
    <t>5.5 Inicio y cierre de sesión 5-25</t>
  </si>
  <si>
    <t>5.5.1 Inicio de sesión con una tarjeta RFID 5-25</t>
  </si>
  <si>
    <t>5.5.2 Iniciar sesión sin tarjeta RFID 5-26</t>
  </si>
  <si>
    <t>5.5.3 Iniciar sesión con contraseña 5-26</t>
  </si>
  <si>
    <t>5.5.4 Iniciar sesión con código PIN 5-26</t>
  </si>
  <si>
    <t>5.5.5 Uso del acceso temporal 5-27</t>
  </si>
  <si>
    <t>5.5.6 Cierre de sesión 5-28</t>
  </si>
  <si>
    <t>5.5.7 Roles del usuario 5-29</t>
  </si>
  <si>
    <t>5.6 Menú principal 5-31</t>
  </si>
  <si>
    <t>5.6.1 Ajuste de idioma 5-31</t>
  </si>
  <si>
    <t>5.6.2 Submenú Mantenimiento 5-32</t>
  </si>
  <si>
    <t>5.6.3 Temperaturas 5-33</t>
  </si>
  <si>
    <t>5.6.4 Datos del sistema Unidades 5-33</t>
  </si>
  <si>
    <t>5.6.5 Ajuste de hora 5-34</t>
  </si>
  <si>
    <t>5.6.6 Ajustes de red 5-34</t>
  </si>
  <si>
    <t>5.6.7 Copia de seguridad / Restablecimiento 5-35</t>
  </si>
  <si>
    <t>5.6.8 Guardar en USB 5-35</t>
  </si>
  <si>
    <t>5.6.9 Ajustes RFID 5-37</t>
  </si>
  <si>
    <t>5.6.10 Limpiar pantalla 5-37</t>
  </si>
  <si>
    <t>5.7 Equipo de limpieza 5-38</t>
  </si>
  <si>
    <t>5.7.1 Cuadro de mando 5-38</t>
  </si>
  <si>
    <t>5.7.2 Estructura de menús 5-39</t>
  </si>
  <si>
    <t>5.7.3 Menú Programas 5-39</t>
  </si>
  <si>
    <t>5.7.4 Teclas de función 5-40</t>
  </si>
  <si>
    <t>5.7.5 Imagen de pasos 5-41</t>
  </si>
  <si>
    <t>5.7.6 Menú Mensajes 5-46</t>
  </si>
  <si>
    <t>5.7.7 Historial de mensajes 5-46</t>
  </si>
  <si>
    <t>5.7.8 Mensajes actuales 5-47</t>
  </si>
  <si>
    <t>5.7.9 Restablecer filtros 5-48</t>
  </si>
  <si>
    <t>5.7.10 Menú Formato 5-48</t>
  </si>
  <si>
    <t>5.7.11 CR70 internas 5-50</t>
  </si>
  <si>
    <t>5.7.12 CR70 externas 5-52</t>
  </si>
  <si>
    <t>5.7.13 Menú Parámetros 5-54</t>
  </si>
  <si>
    <t>5.7.14 Regulador 5-55</t>
  </si>
  <si>
    <t>5.7.15 Valores nominales 5-57</t>
  </si>
  <si>
    <t>5.7.16 Menú Estadísticas 5-59</t>
  </si>
  <si>
    <t>5.7.17 Horas de servicio 5-60</t>
  </si>
  <si>
    <t>5.7.18 Lista de sucesos 5-61</t>
  </si>
  <si>
    <t>5.7.19 Tendencia de CR70 5-61</t>
  </si>
  <si>
    <t>5.7.20 Menú Servicio técnico 5-63</t>
  </si>
  <si>
    <t>5.7.21 Selección servicio de dispositivos 5-64</t>
  </si>
  <si>
    <t>5.7.22 Interfaces de CR70 5-65</t>
  </si>
  <si>
    <t>5.7.23 Diagrama 5-67</t>
  </si>
  <si>
    <t>5.7.24 Menú Nota 5-71</t>
  </si>
  <si>
    <t>5.7.25 Leyenda 5-72</t>
  </si>
  <si>
    <t>5.7.26 Información sobre 5-72</t>
  </si>
  <si>
    <t>6 Mantenimiento 6-1</t>
  </si>
  <si>
    <t>6.1 Observancia de las prescripciones 6-1</t>
  </si>
  <si>
    <t>6.2 Desconexión y aseguramiento 6-1</t>
  </si>
  <si>
    <t>6.2.1 Vaciado de la máquina 6-6</t>
  </si>
  <si>
    <t>6.3 Mantenimiento 6-7</t>
  </si>
  <si>
    <t>6.3.1 Indicaciones de seguridad 6-7</t>
  </si>
  <si>
    <t>6.3.2 Indicaciones de mantenimiento 6-9</t>
  </si>
  <si>
    <t>6.3.3 Requisitos 6-10</t>
  </si>
  <si>
    <t>6.3.4 Plan de mantenimiento 6-10</t>
  </si>
  <si>
    <t>6.3.5 Comprobación del funcionamiento del interruptor</t>
  </si>
  <si>
    <t>de parada de emergencia</t>
  </si>
  <si>
    <t>6.3.6 Realización de la prueba de lámparas 6-16</t>
  </si>
  <si>
    <t>6.3.7 Mantenimiento de las juntas 6-17</t>
  </si>
  <si>
    <t>6.3.8 Apriete de los racores alimentarios 6-18</t>
  </si>
  <si>
    <t>6.3.9 Mantenimiento de piezas de otros fabricantes 6-19</t>
  </si>
  <si>
    <t>6.3.10 Limpieza de superficies 6-19</t>
  </si>
  <si>
    <t>6.4 Reparación 6-21</t>
  </si>
  <si>
    <t>7 Averías 7-1</t>
  </si>
  <si>
    <t>7.1 Indicaciones de seguridad 7-1</t>
  </si>
  <si>
    <t>7.2 Detección 7-3</t>
  </si>
  <si>
    <t>7.3 Solución 7-3</t>
  </si>
  <si>
    <t>8 Dados Técnicos 8-1</t>
  </si>
  <si>
    <t>8.1 Requisitos del entorno 8-1</t>
  </si>
  <si>
    <t>8.2 Requisitos de los fluidos 8-2</t>
  </si>
  <si>
    <t>8.2.1 Energía eléctrica 8-2</t>
  </si>
  <si>
    <t>8.3 Funcionamiento 8-3</t>
  </si>
  <si>
    <t>8.3.1 Datos de la máquina 8-3</t>
  </si>
  <si>
    <t>8.3.2 Datos de alimentación 8-5</t>
  </si>
  <si>
    <t>8.3.3 Cantidades de salida de las máquinas 8-6</t>
  </si>
  <si>
    <t>8.3.4 Cantidades de salida de las máquinas 8-6</t>
  </si>
  <si>
    <t>8.3.5 Emisión de ruidos 8-7</t>
  </si>
  <si>
    <t>8.4 Conservación 8-9</t>
  </si>
  <si>
    <t>8.4.1 Identificación de los dispositivos para desconexión</t>
  </si>
  <si>
    <t>y aseguramiento</t>
  </si>
  <si>
    <t>8.4.2 Características de los materiales de juntas 8-12</t>
  </si>
  <si>
    <t>8.5 Diagrama de flujo de tuberías e instrumentos (diagrama T&amp;I) 8-14</t>
  </si>
  <si>
    <t>8.5.1 Leyenda 8-15</t>
  </si>
  <si>
    <t>Anexo A-1</t>
  </si>
  <si>
    <t>Figuras A-1</t>
  </si>
  <si>
    <t>1 Informações gerais 1-1</t>
  </si>
  <si>
    <t>1.1 Grupo Alvo 1-1</t>
  </si>
  <si>
    <t>1.1.1 Indicações sobre a documentação técnica 1-1</t>
  </si>
  <si>
    <t>1.1.2 Para a documentação técnica aplica-se o seguinte critérios 1-1</t>
  </si>
  <si>
    <t>1.2 Placa de identificação 1-2</t>
  </si>
  <si>
    <t>1.3 Local de instação da placa de identificação 1-3</t>
  </si>
  <si>
    <t>1.4 Assistência ao cliente 1-4</t>
  </si>
  <si>
    <t>1.5 Direitos autorais 1-4</t>
  </si>
  <si>
    <t>1.5.1 Indicações para a leitura 1-4</t>
  </si>
  <si>
    <t>1.5.2 Apresentação de referências e denominações 1-4</t>
  </si>
  <si>
    <t>1.5.3 Apresentação de instruções para ação 1-4</t>
  </si>
  <si>
    <t>1.6 Apresentação de indicações 1-5</t>
  </si>
  <si>
    <t>2 Recomendações de Segurança 2-1</t>
  </si>
  <si>
    <t>2.1 Introdução 2-1</t>
  </si>
  <si>
    <t>2.2 Das obrigações da empresa usuária 2-1</t>
  </si>
  <si>
    <t>2.3 Das sinalizações de advertência (pictograma) presentes este documento e</t>
  </si>
  <si>
    <t>na máquina</t>
  </si>
  <si>
    <t>2.4 Dos requisitos e restrições legais 2-8</t>
  </si>
  <si>
    <t>2.5 Procedimentos nos equipamentos KHS 2-10</t>
  </si>
  <si>
    <t>2.6 Do Mau Uso razoavelmente previsível (uso indevido) do equipamento KHS 2-11</t>
  </si>
  <si>
    <t>2.7 Das obrigações dos profissionais de manutenção e inspeção de qualidade 2-11</t>
  </si>
  <si>
    <t>2.8 Do processo de higienização da máquina pela empresa usuária 2-13</t>
  </si>
  <si>
    <t>2.9 Da seleção do material para o processo produtivo 2-13</t>
  </si>
  <si>
    <t>2.10 Das medidas de segurança presentes na máquina 2-13</t>
  </si>
  <si>
    <t>2.11 Das situações de EMERGÊNCIA 2-14</t>
  </si>
  <si>
    <t>2.12 Da obrigatoriedade da utilização de equipamento de proteção individual</t>
  </si>
  <si>
    <t>(EPI’s):</t>
  </si>
  <si>
    <t>2.13 Da segurança na definição do layout 2-18</t>
  </si>
  <si>
    <t>2.14 Do transporte e do descarregamento da(s) máquina(s) 2-18</t>
  </si>
  <si>
    <t>2.15 Do Comissionamento (1ª partida da máquina) 2-19</t>
  </si>
  <si>
    <t>2.16 Uso de Peças de Reposição Originais 2-19</t>
  </si>
  <si>
    <t>2.17 Do Comissionamento (1ª partida da máquina) 2-19</t>
  </si>
  <si>
    <t>222 2.1D8a s Da Limpeza 2-20</t>
  </si>
  <si>
    <t>2.19 Da Manutenção 2-21</t>
  </si>
  <si>
    <t>2.18 2.20 Lubrificação 2-22</t>
  </si>
  <si>
    <t>2.21 Descarte de resíduos 2-22</t>
  </si>
  <si>
    <t>2-23 2.22 Do Posto de Trabalho 2-23</t>
  </si>
  <si>
    <t>2.23 Segurança 2-24</t>
  </si>
  <si>
    <t>2.23.1 Distribuição de sinalização de segurança 2-24</t>
  </si>
  <si>
    <t>2.24 Dispositivos de proteção 2-26</t>
  </si>
  <si>
    <t>2.24.1 Parada de emergência 2-26</t>
  </si>
  <si>
    <t>2.24.2 Válvula de segurança 2-27</t>
  </si>
  <si>
    <t>2.24.3 Revestimento de proteção 2-28</t>
  </si>
  <si>
    <t>2.24.4 Distribuição de dispositivos de proteção 2-29</t>
  </si>
  <si>
    <t>2.24.5 Dispositivos para desligar e proteger 2-30</t>
  </si>
  <si>
    <t>2.24.6 Válvula de bloqueio da unidade de manutenção 2-31</t>
  </si>
  <si>
    <t>2.24.7 Válvulas de bloqueio manual 2-32</t>
  </si>
  <si>
    <t>2.24.8 Comportamento em situações de perigo e acidentes 2-33</t>
  </si>
  <si>
    <t>2.24.9 Estados operacionais 2-34</t>
  </si>
  <si>
    <t>2.24.10 Estado de operação desligado 2-34</t>
  </si>
  <si>
    <t>2.24.11 Estado operacional ligado 2-34</t>
  </si>
  <si>
    <t>2.25 Recipiente pressurizado 2-35</t>
  </si>
  <si>
    <t>2.26 Perigos residuais 2-36</t>
  </si>
  <si>
    <t>3 Estrutura e funcionamento 3-1</t>
  </si>
  <si>
    <t>3.1 Sistema de Limpeza 3-1</t>
  </si>
  <si>
    <t>3.1.1 Tanques (zona CR70, CR71, CR72, CR73, CR74, CR75, CR76) 3-3</t>
  </si>
  <si>
    <t>3.1.2 Dosagem de concentrado de produto de limpeza 3-5</t>
  </si>
  <si>
    <t>Circuito 3d.e1 .a3q uecimento – vapor e condensado 3-7</t>
  </si>
  <si>
    <t>3.2 Dispositivos de notificação 3-8</t>
  </si>
  <si>
    <t>3.3 Dispositivos de comando 3-9</t>
  </si>
  <si>
    <t>3.3.1 Área de trabalho 3-10</t>
  </si>
  <si>
    <t>3.4 Equipamento de medição, controle e regulação 3-11</t>
  </si>
  <si>
    <t>3.4.1 Armário de distribuição 3-11</t>
  </si>
  <si>
    <t>3.4.2 Controle da máquina 3-12</t>
  </si>
  <si>
    <t>3.4.3 Controle de limpeza 3-13</t>
  </si>
  <si>
    <t>3.4.4 Pneumática 3-14</t>
  </si>
  <si>
    <t>3.4.5 Unidade de manutenção 3-15</t>
  </si>
  <si>
    <t>3.4.6 Conjuntos de válvulas 3-18</t>
  </si>
  <si>
    <t>3.4.7 Equipamentos de segurança 3-18</t>
  </si>
  <si>
    <t>3.4.8 Medidor de Vazão 3-19</t>
  </si>
  <si>
    <t>3.4.9 Sensor de presença de liquido 3-19</t>
  </si>
  <si>
    <t>3.4.10 Manômetro 3-19</t>
  </si>
  <si>
    <t>3.4.11 Válvula de amostragem 3-19</t>
  </si>
  <si>
    <t>3.4.12 Visor de inspeção 3-20</t>
  </si>
  <si>
    <t>3.4.13 Sensor de temperatura 3-20</t>
  </si>
  <si>
    <t>3.4.14 Termômetro 3-20</t>
  </si>
  <si>
    <t>3.4.15 Controlador de fluxo 3-20</t>
  </si>
  <si>
    <t>3.4.16 Alimentação Elétrica 3-21</t>
  </si>
  <si>
    <t>4 Montagem 4-1</t>
  </si>
  <si>
    <t>4.1 Instruções de segurança 4-1</t>
  </si>
  <si>
    <t>4.2 Verifique os itens incluídos na entrega e inspecione a remessa 4-2</t>
  </si>
  <si>
    <t>4.3 Transportar 4-3</t>
  </si>
  <si>
    <t>4.4 Instalação 4-4</t>
  </si>
  <si>
    <t>4.5 Conexão 4-5</t>
  </si>
  <si>
    <t>4.6 Comissionamento 4-6</t>
  </si>
  <si>
    <t>4.7 Desmontagem 4-7</t>
  </si>
  <si>
    <t>4.8 Armazenamento 4-8</t>
  </si>
  <si>
    <t>4.9 Residuos 4-9</t>
  </si>
  <si>
    <t>5 Interface de Operação 5-1</t>
  </si>
  <si>
    <t>5.1 Lado frontal 5-1</t>
  </si>
  <si>
    <t>5.1.1 Os elementos de comando abaixo do monitor têm o seguinte</t>
  </si>
  <si>
    <t>significado</t>
  </si>
  <si>
    <t>5.1.2 Interface gráfica do usuário 5-3</t>
  </si>
  <si>
    <t>5.1.3 Tela principal 5-4</t>
  </si>
  <si>
    <t>5.1.4 Barra de título 5-4</t>
  </si>
  <si>
    <t>5.1.5 Barra de status 5-4</t>
  </si>
  <si>
    <t>5.1.6 Mensagens 5-5</t>
  </si>
  <si>
    <t>5.1.7 Status da máquina 5-6</t>
  </si>
  <si>
    <t>5.1.8 Estado operacional 5-6</t>
  </si>
  <si>
    <t>5.1.9 Ações 5-8</t>
  </si>
  <si>
    <t>5.1.10 Dashboard 5-9</t>
  </si>
  <si>
    <t>5.1.11 Telas 5-9</t>
  </si>
  <si>
    <t>5.1.12 Rolar e folhear 5-10</t>
  </si>
  <si>
    <t>5.1.13 Assistente 5-11</t>
  </si>
  <si>
    <t>5.1.14 Barra de ferramentas 5-12</t>
  </si>
  <si>
    <t>5.1.15 Barra de menu 5-13</t>
  </si>
  <si>
    <t>5.1.16 Abrir a tela 5-14</t>
  </si>
  <si>
    <t>5.1.17 Fechar o menu 5-14</t>
  </si>
  <si>
    <t>5.1.18 Fechar a tela 5-14</t>
  </si>
  <si>
    <t>5.1.19 Painel de navegação 5-14</t>
  </si>
  <si>
    <t>5.1.20 Selecionar outra linha, máquina ou componente 5-16</t>
  </si>
  <si>
    <t>5.1.21 Funções da máquina 5-16</t>
  </si>
  <si>
    <t>5.1.22 Caixa de diálogo de informações da máquina 5-17</t>
  </si>
  <si>
    <t>5.1.23 Ações 5-17</t>
  </si>
  <si>
    <t>5.1.24 Inserir o valor 5-19</t>
  </si>
  <si>
    <t>5.1.25 Teclas 5-20</t>
  </si>
  <si>
    <t>5.1.26 Elementos de saída 5-21</t>
  </si>
  <si>
    <t>5.1.27 Favoritos 5-22</t>
  </si>
  <si>
    <t>5.1.28 Abrir tela com favorito 5-22</t>
  </si>
  <si>
    <t>5.1.29 Reordenar favoritos 5-22</t>
  </si>
  <si>
    <t>5.1.30 Apagar favorito 5-23</t>
  </si>
  <si>
    <t>5.1.31 Logon e logoff 5-23</t>
  </si>
  <si>
    <t>5.1.32 Logon com cartão RFID 5-24</t>
  </si>
  <si>
    <t>5.1.33 Logon sem cartão RFID 5-24</t>
  </si>
  <si>
    <t>5.1.34 Logon com senha 5-24</t>
  </si>
  <si>
    <t>5.1.35 Logon com código PIN 5-25</t>
  </si>
  <si>
    <t>5.1.36 Fazer logout 5-26</t>
  </si>
  <si>
    <t>5.1.37 Logoff com cartão RFID 5-26</t>
  </si>
  <si>
    <t>5.1.38 Logoff com 5-27</t>
  </si>
  <si>
    <t>5.1.39 Funções dos usuários 5-27</t>
  </si>
  <si>
    <t>5.1.40 Configurar idioma 5-30</t>
  </si>
  <si>
    <t>5.1.41 Submenu Serviço 5-30</t>
  </si>
  <si>
    <t>5.1.42 Temperaturas 5-31</t>
  </si>
  <si>
    <t>5.1.43 Drives de informações do sistema 5-31</t>
  </si>
  <si>
    <t>5.1.44 Configuração de data e hora 5-32</t>
  </si>
  <si>
    <t>5.1.45 Configurações de rede 5-32</t>
  </si>
  <si>
    <t>5.1.46 Backup / Restauração 5-33</t>
  </si>
  <si>
    <t>5.1.47 Salvar em pendrive 5-34</t>
  </si>
  <si>
    <t>5.1.48 Configurações RFID 5-35</t>
  </si>
  <si>
    <t>5.1.49 Limpeza da tela 5-35</t>
  </si>
  <si>
    <t>5.1.50 Sistema de limpeza Dashboard 5-36</t>
  </si>
  <si>
    <t>5.1.51 Estrutura do menu 5-36</t>
  </si>
  <si>
    <t>5.1.52 Menu Programas 5-37</t>
  </si>
  <si>
    <t>5.2 Teclas de função 5-37</t>
  </si>
  <si>
    <t>5.2.1 Tela de etapas 5-39</t>
  </si>
  <si>
    <t>5.2.2 Status de um circuito CIP 5-39</t>
  </si>
  <si>
    <t>5.2.3 Comutar entre telas 5-40</t>
  </si>
  <si>
    <t>5..2.4 Condição para o avanço do processo 5-40</t>
  </si>
  <si>
    <t>5.2.5 Opções 5-41</t>
  </si>
  <si>
    <t>5.2.6 Seleção 5-41</t>
  </si>
  <si>
    <t>5.2.7 Caixa de diálogo 5-42</t>
  </si>
  <si>
    <t>5.2.8 Menu Mensagens 5-43</t>
  </si>
  <si>
    <t>5.2.9 Histórico de mensagens 5-44</t>
  </si>
  <si>
    <t>5.2.10 Restaurar filtro 5-45</t>
  </si>
  <si>
    <t>5.2.11 Mensagens atuais 5-45</t>
  </si>
  <si>
    <t>5.2.12 Filtrar mensagens 5-45</t>
  </si>
  <si>
    <t>5.2.13 Restaurar filtro 5-46</t>
  </si>
  <si>
    <t>5.2.14 Menu Tipo 5-46</t>
  </si>
  <si>
    <t>5.2.15 No menu Tipo há as seguintes interfaces 5-46</t>
  </si>
  <si>
    <t>5.2.16 CR70 Interno 5-47</t>
  </si>
  <si>
    <t>5.2.17 Escolher receita 5-48</t>
  </si>
  <si>
    <t>5.2.18 CR70 Externo 5-51</t>
  </si>
  <si>
    <t>5.2.19 Designação das receitas 5-51</t>
  </si>
  <si>
    <t>5.2.20 CR70 Receitas externas 2/2 5-52</t>
  </si>
  <si>
    <t>5.2.21 As abreviaturas na lista de seleção para os fluidos de limpeza</t>
  </si>
  <si>
    <t>têm o seguinte significado</t>
  </si>
  <si>
    <t>5.2.22 Reguladores 5-53</t>
  </si>
  <si>
    <t>5.2.23 Modo 5-55</t>
  </si>
  <si>
    <t>5.2.24 Parâmetros 5-55</t>
  </si>
  <si>
    <t>5.3 Valores nominais 5-56</t>
  </si>
  <si>
    <t>5.3.1 Menu Estatística 5-57</t>
  </si>
  <si>
    <t>5.3.2 Horas de operação 5-58</t>
  </si>
  <si>
    <t>5.3.3 Lista de eventos 5-59</t>
  </si>
  <si>
    <t>5.3.4 CR70 Tendência 5-59</t>
  </si>
  <si>
    <t>5.3.5 Menu Serviço 5-61</t>
  </si>
  <si>
    <t>5.3.6 Interfaces CR70 5-61</t>
  </si>
  <si>
    <t>5.3.7 Diagrama 5-63</t>
  </si>
  <si>
    <t>5.3.8 Exibição de valor 5-64</t>
  </si>
  <si>
    <t>5.3.9 Sonda 5-64</t>
  </si>
  <si>
    <t>5.3.10 Válvulas 5-64</t>
  </si>
  <si>
    <t>5.3.11 Bomba 5-65</t>
  </si>
  <si>
    <t>5.3.12 Regulador 5-66</t>
  </si>
  <si>
    <t>5.3.13 Posição do arco nos distribuidores 5-66</t>
  </si>
  <si>
    <t>5.3.14 Menu Nota 5-67</t>
  </si>
  <si>
    <t>5.3.15 Legenda 5-67</t>
  </si>
  <si>
    <t>5.3.16 Informação sobre 5-68</t>
  </si>
  <si>
    <t>6 Manutenção 6-1</t>
  </si>
  <si>
    <t>6.1 Observar as normas 6-1</t>
  </si>
  <si>
    <t>6.2 Desconectar e proteger 6-1</t>
  </si>
  <si>
    <t>6.2.1 Procedimentos gerais 6-2</t>
  </si>
  <si>
    <t>6.3 Plano de Manutenção 6-3</t>
  </si>
  <si>
    <t>6.3.1 Sinais de Segurança 6-3</t>
  </si>
  <si>
    <t>6.3.2 Ícones 6-3</t>
  </si>
  <si>
    <t>6.3.3 Intervalo 6-3</t>
  </si>
  <si>
    <t>6.4 Plano 6-4</t>
  </si>
  <si>
    <t>7 Avarias 7-1</t>
  </si>
  <si>
    <t>7.1 Indicações de segurança 7-1</t>
  </si>
  <si>
    <t>7.2 Detecção de falhas 7-3</t>
  </si>
  <si>
    <t>7.3 Eliminação de erro 7-3</t>
  </si>
  <si>
    <t>8.1 Requisitos para fluidos 8-1</t>
  </si>
  <si>
    <t>8.1.1 Informativo sobre termos e unidades 8-2</t>
  </si>
  <si>
    <t>8.1.2 Água 8-3</t>
  </si>
  <si>
    <t>8.1.3 Água em geral 8-3</t>
  </si>
  <si>
    <t>8.2 Valores de ajuste 8-7</t>
  </si>
  <si>
    <t>8.2.1 Ar controlo 8-7</t>
  </si>
  <si>
    <t>8.3 Emissão de ruído 8-8</t>
  </si>
  <si>
    <t>8.3.1 Informações sobre o nível de ruído 8-8</t>
  </si>
  <si>
    <t>8.3.2 Requisitos para redução de ruído/acústica em áreas fechadas 8-8</t>
  </si>
  <si>
    <t>8.3.3 Manutenção 8-9</t>
  </si>
  <si>
    <t>8.3.4 Identificação dos equipamentos hidráulicos, pneumáticos e</t>
  </si>
  <si>
    <t>processos</t>
  </si>
  <si>
    <t>8.3.5 Compatibilidades dos materiais 8-10</t>
  </si>
  <si>
    <t>8.3.6 Características dos materiais de vedação 8-11</t>
  </si>
  <si>
    <t>Figuras</t>
  </si>
  <si>
    <t>CIP 5-6000/42/A</t>
  </si>
  <si>
    <t>CIP 5-5000/1-1000/65/A</t>
  </si>
  <si>
    <t>3-4000/1-1000/45/A</t>
  </si>
  <si>
    <t>CIP 5-8500 / 80A</t>
  </si>
  <si>
    <t>Sumário</t>
  </si>
  <si>
    <t>1 Informações Gerais 1-1</t>
  </si>
  <si>
    <t>1.1 Grupo alvo 1-1</t>
  </si>
  <si>
    <t>1.1.2 Para a documentação técnica aplica-se os seguintes</t>
  </si>
  <si>
    <t>critérios</t>
  </si>
  <si>
    <t>1.3 Assistência ao cliente 1-3</t>
  </si>
  <si>
    <t>1.4 Direitos autorais 1-3</t>
  </si>
  <si>
    <t>1.5 Indicações para a leitura 1-3</t>
  </si>
  <si>
    <t>1.5.1 Apresentação de referências e denominações 1-3</t>
  </si>
  <si>
    <t>1.5.2 Apresentação de instruções para ação 1-4</t>
  </si>
  <si>
    <t>1.6 Apresentação de indicações 1-4</t>
  </si>
  <si>
    <t>2.2.1 Da leitura deste documento 2-1</t>
  </si>
  <si>
    <t>2.2.2 Dos tipos de profissionais envolvidos com a máquina 2-1</t>
  </si>
  <si>
    <t>2.2.3 Da localização do Manual de Operação 2-2</t>
  </si>
  <si>
    <t>2.2.4 Do SESMT 2-2</t>
  </si>
  <si>
    <t>2.2.5 Da capacitação obrigatória 2-2</t>
  </si>
  <si>
    <t>2.2.6 Da aplicação dos Regulamentos oficiais e</t>
  </si>
  <si>
    <t>obrigatórios</t>
  </si>
  <si>
    <t>2.2.7 Das condições de trabalho para os profissionais</t>
  </si>
  <si>
    <t>envolvidos</t>
  </si>
  <si>
    <t>2.2.8 Das ocorrências e das modificações na máquina 2-3</t>
  </si>
  <si>
    <t>2.3 Das sinalizações de advertência (pictograma) presentes este</t>
  </si>
  <si>
    <t>documento e na máquina</t>
  </si>
  <si>
    <t>2.3.1 Sinalização de PROIBIÇÃO 2-4</t>
  </si>
  <si>
    <t>2.3.2 Sinalização de AÇÃO MANDATÓRIA 2-5</t>
  </si>
  <si>
    <t>2.3.3 Riscos presentes na máquina 2-6</t>
  </si>
  <si>
    <t>2.3.4 Outras Sinalizações 2-7</t>
  </si>
  <si>
    <t>2.4 Dos requisitos e restrições legais 2-7</t>
  </si>
  <si>
    <t>2.4.1 Intensidade Sonora (Ruído) 2-7</t>
  </si>
  <si>
    <t>2.4.2 Agentes Químicos (Substâncias Químicas) 2-8</t>
  </si>
  <si>
    <t>2.4.3 Temperaturas Quentes 2-9</t>
  </si>
  <si>
    <t>2.6 Do Mau Uso razoavelmente previsível (uso indevido) do</t>
  </si>
  <si>
    <t>equipamento KHS</t>
  </si>
  <si>
    <t>2.7 Das obrigações dos profissionais de manutenção e inspeção</t>
  </si>
  <si>
    <t>de qualidade</t>
  </si>
  <si>
    <t>2.8 Do processo de higienização da máquina pela empresa</t>
  </si>
  <si>
    <t>usuária</t>
  </si>
  <si>
    <t>2.11 Das situações de EMERGÊNCIA 2-13</t>
  </si>
  <si>
    <t>2.12 Interpretação dos sinais luminosos 2-14</t>
  </si>
  <si>
    <t>2.13 Da obrigatoriedade da utilização de equipamento de proteção</t>
  </si>
  <si>
    <t>individual (EPI’s)</t>
  </si>
  <si>
    <t>2.14 Da segurança na definição do layout 2-17</t>
  </si>
  <si>
    <t>2.15 Do transporte e do descarregamento da(s) máquina(s) 2-17</t>
  </si>
  <si>
    <t>2.16 Do Comissionamento (1ª partida da máquina) 2-18</t>
  </si>
  <si>
    <t>2.17 Uso de Peças de Reposição Originais 2-18</t>
  </si>
  <si>
    <t>2.18 Do Comissionamento (1ª partida da máquina) 2-18</t>
  </si>
  <si>
    <t>2.19 Da Limpeza 2-19</t>
  </si>
  <si>
    <t>2.20 Da Manutenção 2-20</t>
  </si>
  <si>
    <t>2.21 Lubrificação 2-20</t>
  </si>
  <si>
    <t>2.22 Descarte de resíduos 2-21</t>
  </si>
  <si>
    <t>2.23 Do Posto de Trabalho 2-22</t>
  </si>
  <si>
    <t>2.24 Dispositivos de proteção 2-23</t>
  </si>
  <si>
    <t>2.24.1 Interruptor parada de emergência 2-23</t>
  </si>
  <si>
    <t>2.24.2 Válvula de segurança 2-24</t>
  </si>
  <si>
    <t>2.24.3 Revestimento de proteção 2-25</t>
  </si>
  <si>
    <t>2.24.4 Dispositivos para desligar e proteger 2-25</t>
  </si>
  <si>
    <t>2.24.5 Válvula de bloqueio da unidade de manutenção 2-26</t>
  </si>
  <si>
    <t>2.24.6 Válvulas de bloqueio manual 2-27</t>
  </si>
  <si>
    <t>2.24.7 Interruptor para reparações 2-27</t>
  </si>
  <si>
    <t>3.1 Fluxograma 3-2</t>
  </si>
  <si>
    <t>3.2 Sistema de Limpeza CIP 3-3</t>
  </si>
  <si>
    <t>3.2.1 Dosagem de concentrado de produto de limpeza 3-4</t>
  </si>
  <si>
    <t>3.2.2 Circuito de limpeza 3-6</t>
  </si>
  <si>
    <t>3.2.3 Circuito de aquecimento – vapor e condensado 3-7</t>
  </si>
  <si>
    <t>3.2.4 Dispositivos de notificação 3-9</t>
  </si>
  <si>
    <t>3.2.5 Dispositivos de comando 3-9</t>
  </si>
  <si>
    <t>3.2.6 Área de trabalho 3-10</t>
  </si>
  <si>
    <t>3-3 Equipamento de medição, controle e regulação 3-10</t>
  </si>
  <si>
    <t>3.3.1 Armário de distribuição 3-10</t>
  </si>
  <si>
    <t>3.3.2 Controle da máquina 3-11</t>
  </si>
  <si>
    <t>3.3.3 Setpoints e limites 3-11</t>
  </si>
  <si>
    <t>3.3.4 Controle de limpeza 3-12</t>
  </si>
  <si>
    <t>3.3.5 Pneumática 3-13</t>
  </si>
  <si>
    <t>3.3.6 Unidade de manutenção 3-14</t>
  </si>
  <si>
    <t>3.3.7 Comando válvulas pneumáticas 3-16</t>
  </si>
  <si>
    <t>3.3.8 Equipamentos de segurança 3-17</t>
  </si>
  <si>
    <t>3.3.9 Visor de inspeção 3-20</t>
  </si>
  <si>
    <t>3.3.10 Termômetro 3-21</t>
  </si>
  <si>
    <t>4.2.1 Inspecione o desembarque 4-3</t>
  </si>
  <si>
    <t>4.5 Conexão 4-4</t>
  </si>
  <si>
    <t>4.6 Comissionamento 4-5</t>
  </si>
  <si>
    <t>4.7 Desmontagem 4-6</t>
  </si>
  <si>
    <t>4.8 Armazenamento 4-7</t>
  </si>
  <si>
    <t>4.9 Resíduos 4-8</t>
  </si>
  <si>
    <t>5 Operação 5-1</t>
  </si>
  <si>
    <t>5.1 Ajuste e regulagem dos parâmetros do processo 5-1</t>
  </si>
  <si>
    <t>5.1.1 Concentração / dosagem 5-1</t>
  </si>
  <si>
    <t>5.1.3 Aquecimento e recirculação do produto na unidade</t>
  </si>
  <si>
    <t>CIP</t>
  </si>
  <si>
    <t>5.1.4 Fluxo de produto 5-2</t>
  </si>
  <si>
    <t>5.1.5 Tempo de limpeza efetiva 5-3</t>
  </si>
  <si>
    <t>5.2 Iniciando a operação do sistema 5-3</t>
  </si>
  <si>
    <t>5.2.2 Supervisório 5-3</t>
  </si>
  <si>
    <t>5.2.3 Comunicação PLC - Supervisório 5-3</t>
  </si>
  <si>
    <t>5.3 Iniciando a operação do sistema 5-4</t>
  </si>
  <si>
    <t>5.3.1 Tela inicial do CIP 5-4</t>
  </si>
  <si>
    <t>5.3.2 Layout de operação 5-5</t>
  </si>
  <si>
    <t>5.3.4 Descrição de tags Ambev 5-6</t>
  </si>
  <si>
    <t>5.3.5 Operação – Tela help supervisório 5-7</t>
  </si>
  <si>
    <t>5.3.6 Telas 5-7</t>
  </si>
  <si>
    <t>5.3.7 Simbologia 5-7</t>
  </si>
  <si>
    <t>5.3.8 Modos de operação 5-8</t>
  </si>
  <si>
    <t>5.3.9 Operação do sistema 5-8</t>
  </si>
  <si>
    <t>5.3.10 Operação do circuito 5-9</t>
  </si>
  <si>
    <t>5.3.11 Procedimento para troca de passo 5-10</t>
  </si>
  <si>
    <t>5.3.12 Procedimento para seleção de programa 5-11</t>
  </si>
  <si>
    <t>5.3.13 Seleção de programa 5-12</t>
  </si>
  <si>
    <t>5.3.14 Tela de sinais 5-13</t>
  </si>
  <si>
    <t>5.3.15 Tela de set points 5-13</t>
  </si>
  <si>
    <t>5.3.16 PID 5-15</t>
  </si>
  <si>
    <t>5.3.17 Tela de redes 5-16</t>
  </si>
  <si>
    <t>5.3.18 Alarmes 5-18</t>
  </si>
  <si>
    <t>6.1 Observações gerais 6-1</t>
  </si>
  <si>
    <t>6.2 Segurança 6-2</t>
  </si>
  <si>
    <t>6.2.1 Indicações de segurança 6-2</t>
  </si>
  <si>
    <t>6.2.2 Procedimentos obrigatórios relacionados as</t>
  </si>
  <si>
    <t>atividades de manutenção</t>
  </si>
  <si>
    <t>6.3 Plano de manutenção 6-7</t>
  </si>
  <si>
    <t>6.3.1 Máquina desbloqueada 6-7</t>
  </si>
  <si>
    <t>6.3.2 Estado de operação desligado 6-7</t>
  </si>
  <si>
    <t>5.1.2 Temperatura de envio da solução CIP 5-2</t>
  </si>
  <si>
    <t>6.3.3 Estado operacional ligado 6-9</t>
  </si>
  <si>
    <t>6.3.4 Manutenção dos dispositivos de segurança 6-11</t>
  </si>
  <si>
    <t>6.3.5 Proceder à manutenção de peças adquiridas 6-12</t>
  </si>
  <si>
    <t>6.3.6 Revisão geral recomendada 6-13</t>
  </si>
  <si>
    <t>6.3.7 Manutenção das vedações 6-13</t>
  </si>
  <si>
    <t>6.4 Limpar as superfícies dos componentes do equipamento 6-16</t>
  </si>
  <si>
    <t>6.4.1 Parâmetros de limpeza 6-17</t>
  </si>
  <si>
    <t>6.4.2 Utilização de limpador de alta pressão 6-18</t>
  </si>
  <si>
    <t>7 Busca e eliminação de interferências 7-1</t>
  </si>
  <si>
    <t>7.1 Observações gerais 7-1</t>
  </si>
  <si>
    <t>7.2 Identificar 7-1</t>
  </si>
  <si>
    <t>7.2.1 Interferências 7-1</t>
  </si>
  <si>
    <t>7.2.2 Eliminar 7-1</t>
  </si>
  <si>
    <t>8.1 Requisitos para fluidos 8-2</t>
  </si>
  <si>
    <t>8.1.3 Água em geral (Contato parcial com o produto) 8-3</t>
  </si>
  <si>
    <t>8.2 Valores de ajuste 8-6</t>
  </si>
  <si>
    <t>8.2.1 Ar controlado 8-6</t>
  </si>
  <si>
    <t>8.3 Emissão de ruído 8-7</t>
  </si>
  <si>
    <t>8.3.1 Informações sobre o nível de ruído 8-7</t>
  </si>
  <si>
    <t>8.3.2 Requisitos para redução de ruído/acústica em áreas</t>
  </si>
  <si>
    <t>fechadas</t>
  </si>
  <si>
    <t>8.3.4 Compatibilidades dos materiais 8-10</t>
  </si>
  <si>
    <t>8.3.5 Características dos materiais de vedação 8-11</t>
  </si>
  <si>
    <t>1.1.2 Para a documentação técnica aplica-se os</t>
  </si>
  <si>
    <t>seguintes critérios</t>
  </si>
  <si>
    <t>2.2.1 Das obrigações da empresa usuária 2-1</t>
  </si>
  <si>
    <t>2.2.2 Dos tipos de profissionais envolvidos com a</t>
  </si>
  <si>
    <t>máquina</t>
  </si>
  <si>
    <t>2.5 Procedimentos nos equipamentos KHS 2-9</t>
  </si>
  <si>
    <t>2.9 Da seleção do material para o processo produtivo 2-12</t>
  </si>
  <si>
    <t>2.10 Das medidas de segurança presentes na máquina 2-12</t>
  </si>
  <si>
    <t>2.14 Da segurança na definição do layout 2-16</t>
  </si>
  <si>
    <t>2.15 Do transporte e do descarregamento da(s) máquina(s) 2-16</t>
  </si>
  <si>
    <t>2.16 Do Comissionamento (1ª partida da máquina) 2-17</t>
  </si>
  <si>
    <t>2.17 Uso de Peças de Reposição Originais 2-17</t>
  </si>
  <si>
    <t>2.18 Do Comissionamento (1ª partida da máquina) 2-17</t>
  </si>
  <si>
    <t>2.19 Da Limpeza 2-18</t>
  </si>
  <si>
    <t>2.20 Da Manutenção 2-19</t>
  </si>
  <si>
    <t>2.21 Lubrificação 2-19</t>
  </si>
  <si>
    <t>2.22 Descarte de resíduos 2-20</t>
  </si>
  <si>
    <t>2.23 Do Posto de Trabalho 2-21</t>
  </si>
  <si>
    <t>2.24 Distribuição de sinalização de segurança 2-22</t>
  </si>
  <si>
    <t>2.25 Dispositivos de proteção 2-23</t>
  </si>
  <si>
    <t>2.25.1 Interruptor Parada de emergência 2-23</t>
  </si>
  <si>
    <t>2.25.2 Válvula de segurança 2-24</t>
  </si>
  <si>
    <t>2.25.3 Revestimento de proteção 2-25</t>
  </si>
  <si>
    <t>2.25.4 Dispositivos para desligar e proteger 2-25</t>
  </si>
  <si>
    <t>2.25.5 Válvula de bloqueio da unidade de manutenção 2-26</t>
  </si>
  <si>
    <t>2.25.6 Válvulas de bloqueio manual 2-27</t>
  </si>
  <si>
    <t>2.25.7 Interruptor para reparações 2-27</t>
  </si>
  <si>
    <t>3 Estrutura e Funcionamento 3-1</t>
  </si>
  <si>
    <t>3.3 Áreas 3-6</t>
  </si>
  <si>
    <t>3.3.1 Dosagem de concentrado de produto de limpeza 3-9</t>
  </si>
  <si>
    <t>3.3.2 Circuito de Limpeza 3-10</t>
  </si>
  <si>
    <t>3.3.3 Circuito de aquecimento – vapor e condensado 3-11</t>
  </si>
  <si>
    <t>3.3.4 Dispositivos de notificação 3-12</t>
  </si>
  <si>
    <t>3.3.5 Posto de trabalho 3-13</t>
  </si>
  <si>
    <t>3.3.6 Área de trabalho 3-14</t>
  </si>
  <si>
    <t>3.4 Equipamento de medição, controle e regulação 3-15</t>
  </si>
  <si>
    <t>3.4.1 Armário de distribuição 3-15</t>
  </si>
  <si>
    <t>3.4.2 Controle da máquina 3-16</t>
  </si>
  <si>
    <t>3.4.3 Setpoints e limites 3-16</t>
  </si>
  <si>
    <t>3.4.4 Controle de limpeza 3-17</t>
  </si>
  <si>
    <t>3.4.5 Pneumática 3-19</t>
  </si>
  <si>
    <t>3.4.6 Equipamentos de segurança 3-23</t>
  </si>
  <si>
    <t>3.4.7 Termômetro 3-28</t>
  </si>
  <si>
    <t>4.2 Verifique os itens incluídos na entrega e inspecione a</t>
  </si>
  <si>
    <t>remessa</t>
  </si>
  <si>
    <t>5 Painel de controle 5-1</t>
  </si>
  <si>
    <t>5.1 Painel Frontal 5-1</t>
  </si>
  <si>
    <t>5.1.1 Parte traseira 5-3</t>
  </si>
  <si>
    <t>5.2 Tela principal 5-4</t>
  </si>
  <si>
    <t>5.2.1 Configurar idioma Símbolo correlato 5-4</t>
  </si>
  <si>
    <t>5.2.2 Barra de menu 5-13</t>
  </si>
  <si>
    <t>5.2.3 Abrir a tela 5-14</t>
  </si>
  <si>
    <t>5.2.4 Painel de navegação 5-15</t>
  </si>
  <si>
    <t>5.3 Selecionar outra linha, máquina ou componente 5-16</t>
  </si>
  <si>
    <t>5.4 Funções da máquina 5-16</t>
  </si>
  <si>
    <t>5.4.1 Caixa de diálogo de informações da máquina 5-17</t>
  </si>
  <si>
    <t>5.4.2 Ações 5-17</t>
  </si>
  <si>
    <t>5.4.3 Inserir um valor 5-19</t>
  </si>
  <si>
    <t>5.4.4 Teclas 5-20</t>
  </si>
  <si>
    <t>5.5 Menu Principal 5-29</t>
  </si>
  <si>
    <t>5.5.1 Configurar idioma 5-29</t>
  </si>
  <si>
    <t>5.5.2 Submenu Serviço 5-30</t>
  </si>
  <si>
    <t>5.5.3 Temperaturas 5-30</t>
  </si>
  <si>
    <t>5.5.4 Drives de informações do sistema 5-31</t>
  </si>
  <si>
    <t>5.5.5 Configuração de data e hora 5-31</t>
  </si>
  <si>
    <t>5.5.6 Configurações de rede 5-32</t>
  </si>
  <si>
    <t>5.5.7 Backup / Restauração 5-32</t>
  </si>
  <si>
    <t>5.5.8 Salvar em pendrive 5-33</t>
  </si>
  <si>
    <t>5.5.9 Configurações RFID 5-34</t>
  </si>
  <si>
    <t>5.5.10 Limpeza da tela 5-35</t>
  </si>
  <si>
    <t>5.5.11 Sistema de limpeza Dashboard 5-36</t>
  </si>
  <si>
    <t>5.5.12 Estrutura do menu 5-37</t>
  </si>
  <si>
    <t>5.5.13 Menu Programas 5-37</t>
  </si>
  <si>
    <t>5.5.14 Teclas de função 5-38</t>
  </si>
  <si>
    <t>5.5.15 Tela de etapas 5-39</t>
  </si>
  <si>
    <t>5.5.16 Estado de um componente 5-40</t>
  </si>
  <si>
    <t>5.5.17 Comutar entre telas 5-40</t>
  </si>
  <si>
    <t>5.5.18 Condição para o avanço do processo 5-40</t>
  </si>
  <si>
    <t>5.5.19 Opções 5-41</t>
  </si>
  <si>
    <t>5.5.20 Seleção 5-42</t>
  </si>
  <si>
    <t>5.5.21 Confirmar etapa do programa 5-42</t>
  </si>
  <si>
    <t>5.5.22 Caixa de diálogo 5-43</t>
  </si>
  <si>
    <t>5.5.23 Menu Mensagens 5-44</t>
  </si>
  <si>
    <t>5.5.24 Histórico de mensagens 5-44</t>
  </si>
  <si>
    <t>5.5.25 Filtrar mensagens por ordem cronológica 5-45</t>
  </si>
  <si>
    <t>5.5.26 Restaurar filtro 5-45</t>
  </si>
  <si>
    <t>5.5.27 Mensagens atuais 5-45</t>
  </si>
  <si>
    <t>5.5.28 Filtrar mensagens 5-46</t>
  </si>
  <si>
    <t>5.5.29 Menu Tipo 5-46</t>
  </si>
  <si>
    <t>5.5.30 Nome “Tipo” há as seguintes interfaces 5-47</t>
  </si>
  <si>
    <t>5.5.31 CR70 Externo 5-51</t>
  </si>
  <si>
    <t>5.5.32 Designação das receitas 5-52</t>
  </si>
  <si>
    <t>5.5.33 CR70 Receitas externas 2/2 5-53</t>
  </si>
  <si>
    <t>5.5.34 As abreviaturas na lista de seleção para os fluidos</t>
  </si>
  <si>
    <t>de limpeza têm o seguinte significado</t>
  </si>
  <si>
    <t>5.5.35 Menu Parâmetros 5-54</t>
  </si>
  <si>
    <t>5.5.36 Reguladores 5-54</t>
  </si>
  <si>
    <t>5.5.37 Modo 5-57</t>
  </si>
  <si>
    <t>5.5.38 Parâmetros 5-57</t>
  </si>
  <si>
    <t>5.5.39 Valores nominais 5-58</t>
  </si>
  <si>
    <t>5.5.40 Menu Estatística 5-60</t>
  </si>
  <si>
    <t>5.5.41 Horas de operação 5-60</t>
  </si>
  <si>
    <t>5.5.42 Lista de eventos 5-61</t>
  </si>
  <si>
    <t>5.5.43 CR70 Tendência 5-61</t>
  </si>
  <si>
    <t>5.5.44 Menu Serviço 5-63</t>
  </si>
  <si>
    <t>5.5.45 Seleção de interface CR70 5-64</t>
  </si>
  <si>
    <t>5.5.46 Exibição de status 5-65</t>
  </si>
  <si>
    <t>5.5.47 Diagrama 5-66</t>
  </si>
  <si>
    <t>5.5.48 Exibição de valor 5-67</t>
  </si>
  <si>
    <t>5.5.49 Sonda 5-67</t>
  </si>
  <si>
    <t>5.5.50 Válvulas 5-68</t>
  </si>
  <si>
    <t>5.5.51 Bomba 5-68</t>
  </si>
  <si>
    <t>5.5.52 Regulador 5-69</t>
  </si>
  <si>
    <t>5.5.53 Posição do arco nos distribuidores 5-70</t>
  </si>
  <si>
    <t>5.5.54 Menu Nota 5-71</t>
  </si>
  <si>
    <t>5.5.55 Legenda 5-71</t>
  </si>
  <si>
    <t>5.5.56 Informação sobre 5-72</t>
  </si>
  <si>
    <t>8.1.3 Água em geral (Contato Parcial com o produto) 8-4</t>
  </si>
  <si>
    <t>8.2 Valores de ajuste 8-9</t>
  </si>
  <si>
    <t>8.2.1 Ar controlado 8-9</t>
  </si>
  <si>
    <t>8.3 Emissão de ruído 8-9</t>
  </si>
  <si>
    <t>8.3.1 Informações sobre o nível de ruído 8-10</t>
  </si>
  <si>
    <t>8.3.2 Requisitos para redução de ruído/acústica em</t>
  </si>
  <si>
    <t>áreas fechadas</t>
  </si>
  <si>
    <t>8.3.3 Manutenção 8-12</t>
  </si>
  <si>
    <t>8.3.4 “Identificação dos equipamentos hidráulicos,</t>
  </si>
  <si>
    <t>pneumáticos e processos”</t>
  </si>
  <si>
    <t>8.3.5 Compatibilidades dos materiais 8-14</t>
  </si>
  <si>
    <t>8.3.6 Características dos materiais de vedação 8-15</t>
  </si>
  <si>
    <t>% Repetições</t>
  </si>
  <si>
    <t>Tanks (area CR72, CR74, CR75)</t>
  </si>
  <si>
    <t>CIP 1-1000/3-8000/45/A</t>
  </si>
  <si>
    <t>Flow meter for steam</t>
  </si>
  <si>
    <t>PlantiT process control system</t>
  </si>
  <si>
    <t>Termination</t>
  </si>
  <si>
    <t>Emptying secured areas</t>
  </si>
  <si>
    <t>Certificates</t>
  </si>
  <si>
    <t>EC declaration of conformity</t>
  </si>
  <si>
    <t>CIP 1-5000/4-10000/45-40-20/A</t>
  </si>
  <si>
    <t>Tanks (area CR71–CR75)</t>
  </si>
  <si>
    <t>Supply for areas CR68, CR69 and CR70</t>
  </si>
  <si>
    <t>Maintaining the dirt collecting filter in the primary feed</t>
  </si>
  <si>
    <t>Servicing the dirt collecting filter in the return</t>
  </si>
  <si>
    <t>CIP 1-1000/2-6000/40/A</t>
  </si>
  <si>
    <t>Remote access via Remote Diagnostic Service (ReDiS)</t>
  </si>
  <si>
    <t>CIP C 1-1000/2-4000/20/A</t>
  </si>
  <si>
    <t>Target group</t>
  </si>
  <si>
    <t>Customer service</t>
  </si>
  <si>
    <t xml:space="preserve">Notes on reading the manual </t>
  </si>
  <si>
    <t>Mandatory action signs</t>
  </si>
  <si>
    <t>Equipment for isolating and securing</t>
  </si>
  <si>
    <t>Deenergised machine</t>
  </si>
  <si>
    <t>Tanks (areas CR72, CR74, CR75)</t>
  </si>
  <si>
    <t>Dosing station for detergent concentrate</t>
  </si>
  <si>
    <t>Signalling equipment</t>
  </si>
  <si>
    <t>Favourites</t>
  </si>
  <si>
    <t>Machine control system</t>
  </si>
  <si>
    <t>Cleaning control system</t>
  </si>
  <si>
    <t>Checking the scope of delivery and inspecting the shipment</t>
  </si>
  <si>
    <t>Conveying</t>
  </si>
  <si>
    <t>Connecting</t>
  </si>
  <si>
    <t>Ending the process</t>
  </si>
  <si>
    <t>Resetting the machine</t>
  </si>
  <si>
    <t>Adherence to regulations</t>
  </si>
  <si>
    <t>Checking the functionality of the emergency stop switch</t>
  </si>
  <si>
    <t>Perform a lamp test</t>
  </si>
  <si>
    <t>Maintaining gaskets</t>
  </si>
  <si>
    <t>Tightening the milk pipe joints</t>
  </si>
  <si>
    <t>Troubleshooting</t>
  </si>
  <si>
    <t>Requirements for surroundings</t>
  </si>
  <si>
    <t>Environment hygiene (floors, walls, gulleys, belts)</t>
  </si>
  <si>
    <t>Machine data</t>
  </si>
  <si>
    <t>Runoff rates for the machines</t>
  </si>
  <si>
    <t>Labelling of equipment for disconnecting and securing</t>
  </si>
  <si>
    <t>Estados de operação</t>
  </si>
  <si>
    <t>Depósitos (área CR72, CR73, CR74, CR75)</t>
  </si>
  <si>
    <t>Alimentação área CR69 e CR70</t>
  </si>
  <si>
    <t>Interface gráfica de utilizador</t>
  </si>
  <si>
    <t>Janela principal</t>
  </si>
  <si>
    <t>Iniciar e encerrar sessão</t>
  </si>
  <si>
    <t>Tecnologia de medição, comando e regulação</t>
  </si>
  <si>
    <t>Estabelecimento da prontidão de operação</t>
  </si>
  <si>
    <t>Cancelar a prontidão de operação</t>
  </si>
  <si>
    <t>Fechar a alimentação de ar de comando</t>
  </si>
  <si>
    <t>Desligar e proteger</t>
  </si>
  <si>
    <t>Apertar as uniões roscadas para tubos de leite</t>
  </si>
  <si>
    <t>Volumes de descarga das máquinas</t>
  </si>
  <si>
    <t>Hot water circuit (area CR70)</t>
  </si>
  <si>
    <t>CIP 1-1000/3-6000/70/A</t>
  </si>
  <si>
    <t>CIP distributor (area CR70)</t>
  </si>
  <si>
    <t>Distributor in the primary feed to the PET filling machine (area CR70)</t>
  </si>
  <si>
    <t>CIP distributor</t>
  </si>
  <si>
    <t>Distributor in the primary feed to the PET filling machine</t>
  </si>
  <si>
    <t>CIP 1-2000/2-6000/2-30A</t>
  </si>
  <si>
    <t>Supply to CR69/CR70 area</t>
  </si>
  <si>
    <t>Distributor (area CR69)</t>
  </si>
  <si>
    <t>Preparing the distributor the following production run</t>
  </si>
  <si>
    <t>Distributor in detergent circuit CR70</t>
  </si>
  <si>
    <t>Distributor in detergent circuit CR69</t>
  </si>
  <si>
    <t>CIP ABF 1-1000/2-1000/25/A</t>
  </si>
  <si>
    <t>Tanks (area CR72, CR73, CR75)</t>
  </si>
  <si>
    <t>Measurement, control and regulating equipment</t>
  </si>
  <si>
    <t>CIP 1-3000/2-12000/35-20/A</t>
  </si>
  <si>
    <t>CIP C 1-1000/2-3000/10A</t>
  </si>
  <si>
    <t>CIP 1-1000/3-4000/15/A</t>
  </si>
  <si>
    <t>Tanks (areas CR71, CR72, CR74, CR75)</t>
  </si>
  <si>
    <t>Consumption measurement</t>
  </si>
  <si>
    <t>Flow meter for fresh water and service water</t>
  </si>
  <si>
    <t>Flow meter for compressed air</t>
  </si>
  <si>
    <t>Preparing the cleaning system</t>
  </si>
  <si>
    <t>Preparing the consumption measurement</t>
  </si>
  <si>
    <t>Minor intervention list</t>
  </si>
  <si>
    <t>Closing off the cleaning system</t>
  </si>
  <si>
    <t>Closing off the consumption measurement</t>
  </si>
  <si>
    <t>Emptying the machine (cleaning system)</t>
  </si>
  <si>
    <t>Emptying secured areas (consumption measurement)</t>
  </si>
  <si>
    <t>Filling the machine with water (cleaning system)</t>
  </si>
  <si>
    <t>CIP 1-1000/4-4000/45/A</t>
  </si>
  <si>
    <t>Tanks (area CR71, CR72, CR73, CR74, CR75)</t>
  </si>
  <si>
    <t>PT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</si>
  <si>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</si>
  <si>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</si>
  <si>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</si>
  <si>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</si>
  <si>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</si>
  <si>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</si>
  <si>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</si>
  <si>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</si>
  <si>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</si>
  <si>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</si>
  <si>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</si>
  <si>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</si>
  <si>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</si>
  <si>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</si>
  <si>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</si>
  <si>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</si>
  <si>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</si>
  <si>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</si>
  <si>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</si>
  <si>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</si>
  <si>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</si>
  <si>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</si>
  <si>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</si>
  <si>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</si>
  <si>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</si>
  <si>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</si>
  <si>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</si>
  <si>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</si>
  <si>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</si>
  <si>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</si>
  <si>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</si>
  <si>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</si>
  <si>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</si>
  <si>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</si>
  <si>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</si>
  <si>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</si>
  <si>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</si>
  <si>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</si>
  <si>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</si>
  <si>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</si>
  <si>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</si>
  <si>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</si>
  <si>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</si>
  <si>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</si>
  <si>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</si>
  <si>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</si>
  <si>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</si>
  <si>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</si>
  <si>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</si>
  <si>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</si>
  <si>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</si>
  <si>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</si>
  <si>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</si>
  <si>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</si>
  <si>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</si>
  <si>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</si>
  <si>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</si>
  <si>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</si>
  <si>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</si>
  <si>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</si>
  <si>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PTC1 - Informações gerais</t>
  </si>
  <si>
    <t>PTC1001 - Grupo-alvo</t>
  </si>
  <si>
    <t>PTC1002 - Informações sobre a documentação técnica</t>
  </si>
  <si>
    <t>PTC1003 - Atribuição da máquina</t>
  </si>
  <si>
    <t>PTC1004 - Componentes integrados</t>
  </si>
  <si>
    <t>PTC1005 - Assistência ao cliente</t>
  </si>
  <si>
    <t>PTC1006 - Direitos autorais</t>
  </si>
  <si>
    <t xml:space="preserve">PTC1007 - Avisos para a leitura </t>
  </si>
  <si>
    <t>PTC2 - Segurança</t>
  </si>
  <si>
    <t>PTC2001 - Função de avisos de segurança</t>
  </si>
  <si>
    <t>PTC2002 - Utilização prevista</t>
  </si>
  <si>
    <t>PTC2003 - Possibilidades de uso incorreto</t>
  </si>
  <si>
    <t>PTC2004 - Deveres do operador</t>
  </si>
  <si>
    <t>PTC2005 - Requisitos relativos ao pessoal</t>
  </si>
  <si>
    <t>PTC2006 - Equipamento de proteção</t>
  </si>
  <si>
    <t>PTC2007 - Áreas de risco e sua identificação</t>
  </si>
  <si>
    <t>PTC2009 - Sinais de aviso</t>
  </si>
  <si>
    <t>PTC2010 - Sinais de obrigação</t>
  </si>
  <si>
    <t>PTC2011 - Localização dos sinais</t>
  </si>
  <si>
    <t>PTC2012 - Dispositivos de proteção</t>
  </si>
  <si>
    <t>PTC2013 - Parada de emergência</t>
  </si>
  <si>
    <t>PTC2014 - Válvula de segurança contra sobrepressão não permitida</t>
  </si>
  <si>
    <t>PTC2015 - Grelha de proteção</t>
  </si>
  <si>
    <t>PTC2016 - Isolamento</t>
  </si>
  <si>
    <t>PTC2017 - Localização dos dispositivos de proteção</t>
  </si>
  <si>
    <t>PTC2018 - Dispositivos para desligamento e proteção</t>
  </si>
  <si>
    <t>PTC2019 - Conduta em situações de perigo e acidentes</t>
  </si>
  <si>
    <t>PTC2020 - Estados operacionais</t>
  </si>
  <si>
    <t>PTC2021 - Máquina desbloqueada</t>
  </si>
  <si>
    <t>PTC2022 - Estado operacional desligado</t>
  </si>
  <si>
    <t>PTC2023 - Estado operacional ligado</t>
  </si>
  <si>
    <t>PTC2024 - Recipiente pressurizado</t>
  </si>
  <si>
    <t>PTC2025 - Riscos residuais</t>
  </si>
  <si>
    <t>PTC3 - Estrutura e funcionamento</t>
  </si>
  <si>
    <t>PTC3001 - Sistema de limpeza</t>
  </si>
  <si>
    <t>PTC3002 - Tanques (área CR72, CR73, CR74, CR75)</t>
  </si>
  <si>
    <t>PTC3003 - Estação de dosagem de concentrado de produto de limpeza</t>
  </si>
  <si>
    <t>PTC3004 - Alimentação área CR69 e CR70</t>
  </si>
  <si>
    <t>PTC3009 - Tanque de produtos de limpeza (Área CR70)</t>
  </si>
  <si>
    <t>PTC3011 - Circuito de vapor (área CR70)</t>
  </si>
  <si>
    <t>PTC3012 - Distribuidor (área CR70)</t>
  </si>
  <si>
    <t>PTC3014 - Alimentação de água quente ao enxágue da tampadora</t>
  </si>
  <si>
    <t>PTC3015 - Abastecimento de ar de controle</t>
  </si>
  <si>
    <t>PTC3019 - Bomba de retorno (área CR79)</t>
  </si>
  <si>
    <t>PTC3020 - Dispositivos de aviso</t>
  </si>
  <si>
    <t>PTC3021 - Dispositivos de comando</t>
  </si>
  <si>
    <t>PTC3022 - Console de operação</t>
  </si>
  <si>
    <t>PTC3023 - Interface gráfica do usuário</t>
  </si>
  <si>
    <t>PTC3024 - Tela principal</t>
  </si>
  <si>
    <t>PTC3025 - Favoritos</t>
  </si>
  <si>
    <t>PTC3026 - Logon e logoff</t>
  </si>
  <si>
    <t>PTC3027 - Menu principal</t>
  </si>
  <si>
    <t>PTC3028 - Sistema de limpeza</t>
  </si>
  <si>
    <t>PTC3029 - Posto de trabalho</t>
  </si>
  <si>
    <t>PTC3031 - Tecnologia de medição, controle e regulagem</t>
  </si>
  <si>
    <t>PTC3032 - Armário de distribuição</t>
  </si>
  <si>
    <t>PTC3033 - Comando da máquina</t>
  </si>
  <si>
    <t>PTC3034 - Comando da limpeza</t>
  </si>
  <si>
    <t>PTC3035 - Sistema pneumático</t>
  </si>
  <si>
    <t>PTC3036 - Parte elétrica</t>
  </si>
  <si>
    <t>PTC4 - Montagem</t>
  </si>
  <si>
    <t>PTC4001 - Avisos de segurança</t>
  </si>
  <si>
    <t>PTC4002 - Verificar o volume de fornecimento e executar a inspeção de entrega</t>
  </si>
  <si>
    <t>PTC4003 - Transporte</t>
  </si>
  <si>
    <t>PTC4004 - Montar</t>
  </si>
  <si>
    <t>PTC4005 - Ligar</t>
  </si>
  <si>
    <t>PTC4006 - Colocar em funcionamento</t>
  </si>
  <si>
    <t>PTC4007 - Desligar</t>
  </si>
  <si>
    <t>PTC4008 - Armazenamento</t>
  </si>
  <si>
    <t>PTC4009 - Descarte</t>
  </si>
  <si>
    <t>PTC5 - Operação</t>
  </si>
  <si>
    <t>PTC5001 - Avisos de segurança</t>
  </si>
  <si>
    <t>PTC5002 - Dispositivos de proteção</t>
  </si>
  <si>
    <t>PTC5003 - Botão de parada de emergência</t>
  </si>
  <si>
    <t>PTC5004 - Dispositivos de aviso</t>
  </si>
  <si>
    <t>PTC5005 - Luzes de sinalização</t>
  </si>
  <si>
    <t>PTC5006 - Sirene de aviso</t>
  </si>
  <si>
    <t>PTC5007 - Dispositivos de comando</t>
  </si>
  <si>
    <t>PTC5010 - Painel de controlo</t>
  </si>
  <si>
    <t>PTC5011 - Botões</t>
  </si>
  <si>
    <t>PTC5014 - Interruptor principal</t>
  </si>
  <si>
    <t>PTC5015 - Válvulas de bloqueio manual</t>
  </si>
  <si>
    <t>PTC5016 - Distribuidor</t>
  </si>
  <si>
    <t>PTC5019 - Seletor na limpeza dos camiões cisterna</t>
  </si>
  <si>
    <t>PTC5020 - Estabelecer prontidão operacional</t>
  </si>
  <si>
    <t>PTC5021 - Abrir e configurar a alimentação do ar controlado</t>
  </si>
  <si>
    <t>PTC5022 - Ligar a alimentação de tensão</t>
  </si>
  <si>
    <t>PTC5023 - Ligar tensão de comando</t>
  </si>
  <si>
    <t>PTC5025 - Preparar a máquina</t>
  </si>
  <si>
    <t>PTC5026 - Limpeza de máquinas/sistemas externos</t>
  </si>
  <si>
    <t>PTC5027 - Limpeza das máquinas/dos sistemas externos</t>
  </si>
  <si>
    <t>PTC5028 - Avisos de segurança</t>
  </si>
  <si>
    <t>PTC5029 - Lista de pequenas intervenções</t>
  </si>
  <si>
    <t>PTC5030 - Requisitos</t>
  </si>
  <si>
    <t>PTC5031 - Preparar</t>
  </si>
  <si>
    <t>PTC5032 - Executar</t>
  </si>
  <si>
    <t>PTC5033 - Encerrar</t>
  </si>
  <si>
    <t>PTC5034 - Efetuar o enxágue com água quente</t>
  </si>
  <si>
    <t>PTC5035 - Limpeza do sistema CIP</t>
  </si>
  <si>
    <t>PTC5036 - Avisos de segurança</t>
  </si>
  <si>
    <t>PTC5037 - Requisitos</t>
  </si>
  <si>
    <t>PTC5038 - Preparar</t>
  </si>
  <si>
    <t>PTC5039 - Executar</t>
  </si>
  <si>
    <t>PTC5040 - Encerrar</t>
  </si>
  <si>
    <t>PTC5044 - Cancelar prontidão operacional</t>
  </si>
  <si>
    <t>PTC5047 - Processar posteriormente a máquina</t>
  </si>
  <si>
    <t>PTC5049 - Desligar a tensão de comando</t>
  </si>
  <si>
    <t>PTC5050 - Desligar a alimentação de tensão</t>
  </si>
  <si>
    <t>PTC5051 - Fechar a alimentação de ar de controle</t>
  </si>
  <si>
    <t>PTC6 - Manutenção</t>
  </si>
  <si>
    <t>PTC6001 - Observar as normas</t>
  </si>
  <si>
    <t>PTC6002 - Desconectar e proteger</t>
  </si>
  <si>
    <t>PTC6003 - Esvaziar máquina</t>
  </si>
  <si>
    <t>PTC6005 - Encher a máquina com água</t>
  </si>
  <si>
    <t>PTC6006 - Manutenção preventiva</t>
  </si>
  <si>
    <t>PTC6007 - Avisos de segurança</t>
  </si>
  <si>
    <t>PTC6008 - Instruções sobre as práticas de manutenção preventiva</t>
  </si>
  <si>
    <t>PTC6009 - Condições prévias</t>
  </si>
  <si>
    <t>PTC6010 - Preparar</t>
  </si>
  <si>
    <t>PTC6011 - Plano de manutenção preventiva</t>
  </si>
  <si>
    <t>PTC6012 - Verificar o funcionamento interruptor de parada de emergência</t>
  </si>
  <si>
    <t>PTC6013 - Fazer a manutenção do recipiente pressurizado</t>
  </si>
  <si>
    <t>PTC6014 - Executar teste de lâmpadas</t>
  </si>
  <si>
    <t>PTC6017 - Vistoriar as vedações</t>
  </si>
  <si>
    <t>PTC6018 - Apertar as uniões roscadas da tubulação de leite</t>
  </si>
  <si>
    <t>PTC6019 - Manutenção de peças adquiridas</t>
  </si>
  <si>
    <t>PTC6020 - Limpar superfícies</t>
  </si>
  <si>
    <t>PTC6021 - Reparo</t>
  </si>
  <si>
    <t>PTC7 - Falhas</t>
  </si>
  <si>
    <t>PTC7001 - Avisos de segurança</t>
  </si>
  <si>
    <t>PTC7002 - Detectar</t>
  </si>
  <si>
    <t>PTC7003 - Eliminar</t>
  </si>
  <si>
    <t>PTC8 - Dados técnicos</t>
  </si>
  <si>
    <t>PTC8001 - Condições ambientais</t>
  </si>
  <si>
    <t>PTC8002 - Requisitos para fluidos</t>
  </si>
  <si>
    <t>PTC8007 - Explicação de termos</t>
  </si>
  <si>
    <t>PTC8008 - Água</t>
  </si>
  <si>
    <t>PTC8009 - Ar</t>
  </si>
  <si>
    <t>PTC8010 - Vapor</t>
  </si>
  <si>
    <t>PTC8011 - Recomendações de limpeza</t>
  </si>
  <si>
    <t>PTC8012 - Higiene do ambiente (piso, paredes, ralos, esteiras)</t>
  </si>
  <si>
    <t>PTC8013 - Limpeza externa: máquinas selecionadas</t>
  </si>
  <si>
    <t>PTC8014 - Passivação</t>
  </si>
  <si>
    <t>PTC8015 - Operação</t>
  </si>
  <si>
    <t>PTC8016 - Dados da máquina</t>
  </si>
  <si>
    <t>PTC8017 - Dados de alimentação</t>
  </si>
  <si>
    <t>PTC8018 - Quantidades de escoamento das máquinas</t>
  </si>
  <si>
    <t>PTC8019 - Valores de ajuste</t>
  </si>
  <si>
    <t>PTC8020 - Emissão de ruído</t>
  </si>
  <si>
    <t>PTC8021 - Manutenção</t>
  </si>
  <si>
    <t>PTC8022 - Identificação dos dispositivos para desligamento e proteção</t>
  </si>
  <si>
    <t>PTC8023 - Compatibilidades dos materiais</t>
  </si>
  <si>
    <t>PTC8025 - Características dos materiais de vedação</t>
  </si>
  <si>
    <t>PTC8026 - Certificados</t>
  </si>
  <si>
    <t>PTC8027 - Declaração de conformidade CE</t>
  </si>
  <si>
    <t>PTC8028 - Plano de montagem</t>
  </si>
  <si>
    <t>PTC8033 - Fluxograma da tubulação e dos instrumentos (diagrama P&amp;ID)</t>
  </si>
  <si>
    <t>PTC8034 - Legenda</t>
  </si>
  <si>
    <t>PTC9 - Anexo</t>
  </si>
  <si>
    <t>x</t>
  </si>
  <si>
    <t>Informação geral</t>
  </si>
  <si>
    <t>Grupo alvo</t>
  </si>
  <si>
    <t>Notas sobre a documentação técnica</t>
  </si>
  <si>
    <t>atribuição máquina</t>
  </si>
  <si>
    <t>Componentes Integrados</t>
  </si>
  <si>
    <t>Atendimento ao Cliente</t>
  </si>
  <si>
    <t>direito autoral</t>
  </si>
  <si>
    <t>Notas sobre a leitura deste manual</t>
  </si>
  <si>
    <t>Informação de Segurança</t>
  </si>
  <si>
    <t>Finalidade de informações de segurança</t>
  </si>
  <si>
    <t>uso pretendido</t>
  </si>
  <si>
    <t>má utilização razoavelmente previsível</t>
  </si>
  <si>
    <t>Obrigações do operador</t>
  </si>
  <si>
    <t>necessidades de pessoal</t>
  </si>
  <si>
    <t>As áreas perigosas e identificação destas áreas</t>
  </si>
  <si>
    <t>sinais de proibição</t>
  </si>
  <si>
    <t>sinais obrigatórios</t>
  </si>
  <si>
    <t>Local de montagem de sinais</t>
  </si>
  <si>
    <t>Equipamento de segurança</t>
  </si>
  <si>
    <t>válvula de alívio para aliviar a pressão excessivamente elevada</t>
  </si>
  <si>
    <t>grade de protecção</t>
  </si>
  <si>
    <t>local de instalação de equipamentos de segurança</t>
  </si>
  <si>
    <t>Equipamento para desligar e garantir</t>
  </si>
  <si>
    <t>Conduta em situações perigosas e, no caso de um acidente</t>
  </si>
  <si>
    <t>estados de funcionamento</t>
  </si>
  <si>
    <t>máquina desenergizado</t>
  </si>
  <si>
    <t>Operando OFF estado</t>
  </si>
  <si>
    <t>Estado de funcionamento ON</t>
  </si>
  <si>
    <t>tanques de pressão</t>
  </si>
  <si>
    <t>riscos residuais</t>
  </si>
  <si>
    <t>sistema de limpeza</t>
  </si>
  <si>
    <t>Tanques (área de CR71, CR72, CR75)</t>
  </si>
  <si>
    <t>Detergente concentrado estação de dosagem</t>
  </si>
  <si>
    <t>Área CR69 e fornecimento CR70</t>
  </si>
  <si>
    <t>Detergente e circuito de vapor (CR70 área)</t>
  </si>
  <si>
    <t>Detergente e circuito de vapor (área CR69)</t>
  </si>
  <si>
    <t>Aquecedor de água fresca (área CR84)</t>
  </si>
  <si>
    <t>Aquecedor de água fresca (área CR83)</t>
  </si>
  <si>
    <t>circuito detergente (CR70 área)</t>
  </si>
  <si>
    <t>circuito de água quente (CR70 área)</t>
  </si>
  <si>
    <t>circuito de vapor (área CR70)</t>
  </si>
  <si>
    <t>Distribuidor (CR70 área)</t>
  </si>
  <si>
    <t>Distribuidor na alimentação primária para o PET máquina de enchimento (CR70 área)</t>
  </si>
  <si>
    <t>fornecimento de ar controle</t>
  </si>
  <si>
    <t>medição do consumo</t>
  </si>
  <si>
    <t>Medidor de vazão para água doce e água de serviço</t>
  </si>
  <si>
    <t>Medidor de fluxo de vapor</t>
  </si>
  <si>
    <t>de sinalização</t>
  </si>
  <si>
    <t>controles operacionais</t>
  </si>
  <si>
    <t>console do operador</t>
  </si>
  <si>
    <t>favoritos</t>
  </si>
  <si>
    <t>Entrando e fora</t>
  </si>
  <si>
    <t>O acesso remoto para o Serviço de Diagnóstico Remoto (Redis)</t>
  </si>
  <si>
    <t>Medição, controle e equipamentos de regulação</t>
  </si>
  <si>
    <t>armário de comando</t>
  </si>
  <si>
    <t>controle da máquina</t>
  </si>
  <si>
    <t>controle de limpeza</t>
  </si>
  <si>
    <t>Pneumática</t>
  </si>
  <si>
    <t>Instruções de segurança</t>
  </si>
  <si>
    <t>Verifique os itens incluídos na entrega e inspecionar o material</t>
  </si>
  <si>
    <t>Instalação</t>
  </si>
  <si>
    <t>Conexão</t>
  </si>
  <si>
    <t>comissionamento</t>
  </si>
  <si>
    <t>desactivação</t>
  </si>
  <si>
    <t>Disposição</t>
  </si>
  <si>
    <t>Botão de emergência</t>
  </si>
  <si>
    <t>lâmpada de controle</t>
  </si>
  <si>
    <t>buzina de sinal</t>
  </si>
  <si>
    <t>sistema de controlo de processo PlantiT</t>
  </si>
  <si>
    <t>teclado</t>
  </si>
  <si>
    <t>botoes</t>
  </si>
  <si>
    <t>[Redis] interruptor de chave</t>
  </si>
  <si>
    <t>interruptor principal</t>
  </si>
  <si>
    <t>Manual Válvulas</t>
  </si>
  <si>
    <t>distribuidor CIP</t>
  </si>
  <si>
    <t>Distribuidor na alimentação de mídia</t>
  </si>
  <si>
    <t>Seletor na Limpeza dos Camioes cisterna</t>
  </si>
  <si>
    <t>Preparação para a operação</t>
  </si>
  <si>
    <t>A abertura e definindo o fornecimento de ar de controle</t>
  </si>
  <si>
    <t>Ligar a fonte de alimentação</t>
  </si>
  <si>
    <t>Ligar a tensão de controle</t>
  </si>
  <si>
    <t>Ligar o gravador de dados</t>
  </si>
  <si>
    <t>Preparando a máquina</t>
  </si>
  <si>
    <t>Preparando a medição de consumo</t>
  </si>
  <si>
    <t>Máquinas de limpeza / sistemas externos</t>
  </si>
  <si>
    <t>Lista de Pequenas intervenções</t>
  </si>
  <si>
    <t>Pré-requisitos</t>
  </si>
  <si>
    <t>Preparação</t>
  </si>
  <si>
    <t>Execução</t>
  </si>
  <si>
    <t>produção terminando</t>
  </si>
  <si>
    <t>Distribuidor em CR70 circuito detergente</t>
  </si>
  <si>
    <t>Distribuidor em CR69 circuito detergente</t>
  </si>
  <si>
    <t>Tendo a máquina de operação</t>
  </si>
  <si>
    <t>Fechando o sistema de limpeza</t>
  </si>
  <si>
    <t>Fechando a medição de consumo</t>
  </si>
  <si>
    <t>preparação subsequente da máquina</t>
  </si>
  <si>
    <t>Desligar o gravador de dados</t>
  </si>
  <si>
    <t>Desligando a tensão de controle</t>
  </si>
  <si>
    <t>Desligar a fonte de alimentação</t>
  </si>
  <si>
    <t>Fechando o abastecimento de ar de comando</t>
  </si>
  <si>
    <t>manutenção</t>
  </si>
  <si>
    <t>Conformidade com os regulamentos</t>
  </si>
  <si>
    <t>Desligar e garantir</t>
  </si>
  <si>
    <t>Esvaziamento da máquina</t>
  </si>
  <si>
    <t>Esvaziamento áreas seguras</t>
  </si>
  <si>
    <t>Notas sobre práticas de manutenção</t>
  </si>
  <si>
    <t>requisitos</t>
  </si>
  <si>
    <t>Cronograma de manutenção</t>
  </si>
  <si>
    <t>Manutenção do tanque de pressão</t>
  </si>
  <si>
    <t>Realizar um teste de lâmpada</t>
  </si>
  <si>
    <t>Mantendo a sujeira recolha de filtro na alimentação primária</t>
  </si>
  <si>
    <t>Manutenção da sujidade recolha de filtro no retorno</t>
  </si>
  <si>
    <t>manter selos</t>
  </si>
  <si>
    <t>Aperte as juntas de tubo de leite</t>
  </si>
  <si>
    <t>Manter peças compradas</t>
  </si>
  <si>
    <t>limpeza de superfícies</t>
  </si>
  <si>
    <t>conserto</t>
  </si>
  <si>
    <t>Falhas, panes</t>
  </si>
  <si>
    <t>detectar falhas</t>
  </si>
  <si>
    <t>retificar falhas</t>
  </si>
  <si>
    <t>requisitos do ambiente</t>
  </si>
  <si>
    <t>requisitos de mídia</t>
  </si>
  <si>
    <t>Energia elétrica</t>
  </si>
  <si>
    <t>especificações da máquina</t>
  </si>
  <si>
    <t>dados de abastecimento</t>
  </si>
  <si>
    <t>Explicação dos termos</t>
  </si>
  <si>
    <t>limpeza recomendações</t>
  </si>
  <si>
    <t>Higiene da área circundante (chão, paredes, sulcos, cintos)</t>
  </si>
  <si>
    <t>Caudais para as máquinas</t>
  </si>
  <si>
    <t>Definições</t>
  </si>
  <si>
    <t>emissões de ruído</t>
  </si>
  <si>
    <t>Rotulagem de equipamento para desligar e garantir</t>
  </si>
  <si>
    <t>Compatibilidade de Materiais</t>
  </si>
  <si>
    <t>plano de instalação</t>
  </si>
  <si>
    <t>área CR69</t>
  </si>
  <si>
    <t>Tubagem e instrumentação diagrama (P &amp; ID)</t>
  </si>
  <si>
    <t>lenda</t>
  </si>
  <si>
    <t>lista de conexão de mídia</t>
  </si>
  <si>
    <t>Apêndice</t>
  </si>
  <si>
    <t>PTC3005 - Detergente e circuito de vapor (CR70 área)</t>
  </si>
  <si>
    <t>PTC3006 - Detergente e circuito de vapor (área CR69)</t>
  </si>
  <si>
    <t>PTC3007 - Aquecedor de água fresca (área CR84)</t>
  </si>
  <si>
    <t>PTC3008 - Aquecedor de água fresca (área CR83)</t>
  </si>
  <si>
    <t>PTC3013 - Distribuidor na alimentação primária para o PET máquina de enchimento (CR70 área)</t>
  </si>
  <si>
    <t>PTC3018 - Medidor de fluxo de vapor</t>
  </si>
  <si>
    <t>PTC5012 - [Redis] interruptor de chave</t>
  </si>
  <si>
    <t>PTC5018 - Distribuidor na alimentação de mídia</t>
  </si>
  <si>
    <t>PTC5045 - Fechando o sistema de limpeza</t>
  </si>
  <si>
    <t>PTC5046 - Fechando a medição de consumo</t>
  </si>
  <si>
    <t>PTC8003 - Energia elétrica</t>
  </si>
  <si>
    <t>PTC8004 - Operação</t>
  </si>
  <si>
    <t>PTC8024 - Detergente</t>
  </si>
  <si>
    <t>PTC8031 - Aquecedor de água fresca (área CR83)</t>
  </si>
  <si>
    <t>PTC8032 - Aquecedor de água fresca (área CR84)</t>
  </si>
  <si>
    <t>PTC2008 - Sinais de proibição</t>
  </si>
  <si>
    <t>PTC3010 - Circuito de água quente (CR70 área)</t>
  </si>
  <si>
    <t>PTC3016 - Medição de Consumo</t>
  </si>
  <si>
    <t>PTC3030 - Acesso remoto para o Serviço de Diagnóstico Remoto (Redis)</t>
  </si>
  <si>
    <t>PTC5008 - Sistema de controle de processo PlantiT</t>
  </si>
  <si>
    <t>PTC5009 - Teclado</t>
  </si>
  <si>
    <t>PTC5013 - Teclado</t>
  </si>
  <si>
    <t>PTC5017 - Distribuidor CIP</t>
  </si>
  <si>
    <t>PTC5024 - Ligando o gravador de dados</t>
  </si>
  <si>
    <t>PTC5041 - Preparando o distribuidor para a próxima produção</t>
  </si>
  <si>
    <t>PTC5042 - Distribuidor no circuito detergente CR70</t>
  </si>
  <si>
    <t>PTC5043 - Distribuidor no circuito detergente CR69</t>
  </si>
  <si>
    <t>PTC5048 - Desligando o gravador de dados</t>
  </si>
  <si>
    <t>PTC6004 - Esvaziamento de áreas seguras</t>
  </si>
  <si>
    <t>PTC6015 - Manutenção do filtro coletor de sujeira na alimentação primária</t>
  </si>
  <si>
    <t>PTC6016 - Manutenção do filtro coletor de sujeira no retorno</t>
  </si>
  <si>
    <t>PTC8005 - Especificações da máquina</t>
  </si>
  <si>
    <t>PTC8006 - Dados de abastecimento</t>
  </si>
  <si>
    <t>PTC8029 - Sistema de limpeza</t>
  </si>
  <si>
    <t>PTC8030 - Área CR69</t>
  </si>
  <si>
    <t>PTC3017 - Medidor de vazão para água fresca e água de serviço</t>
  </si>
  <si>
    <t>PTC8035 - Lista de conexões de mídia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</si>
</sst>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9" fontId="3" fillId="0" borderId="0"/>
  </cellStyleXfs>
  <cellXfs count="17">
    <xf numFmtId="0" fontId="0" fillId="0" borderId="0" xfId="0"/>
    <xf numFmtId="0" fontId="1" fillId="0" borderId="0" xfId="0" applyFont="1"/>
    <xf numFmtId="16" fontId="0" fillId="0" borderId="0" xfId="0" applyNumberFormat="1"/>
    <xf numFmtId="17" fontId="0" fillId="0" borderId="0" xfId="0" applyNumberFormat="1"/>
    <xf numFmtId="0" fontId="0" fillId="0" borderId="0" xfId="0" applyFill="1"/>
    <xf numFmtId="0" fontId="0" fillId="2" borderId="0" xfId="0" applyFill="1"/>
    <xf numFmtId="0" fontId="4" fillId="0" borderId="0" xfId="0" applyFont="1" applyAlignme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5" fillId="0" borderId="0" xfId="0" applyFont="1" applyAlignment="1">
      <alignment horizontal="center" wrapText="1"/>
    </xf>
    <xf numFmtId="9" fontId="6" fillId="0" borderId="0" xfId="1" applyFont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49" fontId="0" fillId="0" borderId="0" xfId="0" applyNumberFormat="1"/>
    <xf numFmtId="0" fontId="0" fillId="3" borderId="0" xfId="0" applyFill="1"/>
    <xf numFmtId="0" fontId="5" fillId="0" borderId="0" xfId="0" applyFont="1" applyAlignment="1">
      <alignment horizontal="center" wrapText="1"/>
    </xf>
  </cellXfs>
  <cellStyles count="3">
    <cellStyle name="Normal" xfId="0" builtinId="0"/>
    <cellStyle name="Porcentagem" xfId="1" builtinId="5"/>
    <cellStyle name="Standard_Tabelle1" xfId="2" xr:uid="{0BEA0DBF-7A9F-4BF9-9113-2DF8CCFBEFE3}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8E3C4-4E91-468F-B50A-43B981FAA79E}">
  <dimension ref="A1:AJ201"/>
  <sheetViews>
    <sheetView tabSelected="1" topLeftCell="A22" zoomScale="70" zoomScaleNormal="70" workbookViewId="0">
      <selection activeCell="B1" sqref="B1"/>
    </sheetView>
  </sheetViews>
  <sheetFormatPr defaultRowHeight="15" x14ac:dyDescent="0.25"/>
  <cols>
    <col min="1" max="1" width="18.85546875" style="6" customWidth="1"/>
    <col min="2" max="2" width="61.5703125" style="6" customWidth="1"/>
    <col min="3" max="36" width="45.85546875" customWidth="1"/>
  </cols>
  <sheetData>
    <row r="1" spans="1:36" x14ac:dyDescent="0.25">
      <c r="C1">
        <f>COUNTA(C6:C201)</f>
        <v>143</v>
      </c>
      <c r="D1">
        <f t="shared" ref="D1:AJ1" si="0">COUNTA(D6:D201)</f>
        <v>141</v>
      </c>
      <c r="E1">
        <f t="shared" si="0"/>
        <v>140</v>
      </c>
      <c r="F1">
        <f t="shared" si="0"/>
        <v>139</v>
      </c>
      <c r="G1">
        <f t="shared" si="0"/>
        <v>142</v>
      </c>
      <c r="H1">
        <f t="shared" si="0"/>
        <v>144</v>
      </c>
      <c r="I1">
        <f t="shared" si="0"/>
        <v>143</v>
      </c>
      <c r="J1">
        <f t="shared" si="0"/>
        <v>139</v>
      </c>
      <c r="K1">
        <f t="shared" si="0"/>
        <v>147</v>
      </c>
      <c r="L1">
        <f t="shared" si="0"/>
        <v>140</v>
      </c>
      <c r="M1">
        <f t="shared" si="0"/>
        <v>139</v>
      </c>
      <c r="N1">
        <f t="shared" si="0"/>
        <v>144</v>
      </c>
      <c r="O1">
        <f t="shared" si="0"/>
        <v>141</v>
      </c>
      <c r="P1">
        <f t="shared" si="0"/>
        <v>139</v>
      </c>
      <c r="Q1">
        <f t="shared" si="0"/>
        <v>137</v>
      </c>
      <c r="R1">
        <f t="shared" si="0"/>
        <v>143</v>
      </c>
      <c r="S1">
        <f t="shared" si="0"/>
        <v>141</v>
      </c>
      <c r="T1">
        <f t="shared" si="0"/>
        <v>142</v>
      </c>
      <c r="U1">
        <f t="shared" si="0"/>
        <v>145</v>
      </c>
      <c r="V1">
        <f t="shared" si="0"/>
        <v>147</v>
      </c>
      <c r="W1">
        <f t="shared" si="0"/>
        <v>141</v>
      </c>
      <c r="X1">
        <f t="shared" si="0"/>
        <v>147</v>
      </c>
      <c r="Y1">
        <f t="shared" si="0"/>
        <v>141</v>
      </c>
      <c r="Z1">
        <f t="shared" si="0"/>
        <v>143</v>
      </c>
      <c r="AA1">
        <f t="shared" si="0"/>
        <v>139</v>
      </c>
      <c r="AB1">
        <f t="shared" si="0"/>
        <v>141</v>
      </c>
      <c r="AC1">
        <f t="shared" si="0"/>
        <v>143</v>
      </c>
      <c r="AD1">
        <f t="shared" si="0"/>
        <v>142</v>
      </c>
      <c r="AE1">
        <f t="shared" si="0"/>
        <v>141</v>
      </c>
      <c r="AF1">
        <f t="shared" si="0"/>
        <v>152</v>
      </c>
      <c r="AG1">
        <f t="shared" si="0"/>
        <v>140</v>
      </c>
      <c r="AH1">
        <f t="shared" si="0"/>
        <v>143</v>
      </c>
      <c r="AI1">
        <f t="shared" si="0"/>
        <v>139</v>
      </c>
      <c r="AJ1">
        <f t="shared" si="0"/>
        <v>141</v>
      </c>
    </row>
    <row r="2" spans="1:36" ht="23.25" x14ac:dyDescent="0.35">
      <c r="A2" s="16" t="s">
        <v>1372</v>
      </c>
      <c r="B2" s="10"/>
      <c r="L2">
        <v>89407425</v>
      </c>
      <c r="M2">
        <v>89407400</v>
      </c>
      <c r="N2">
        <v>89407317</v>
      </c>
      <c r="O2">
        <v>89407098</v>
      </c>
      <c r="P2">
        <v>89407261</v>
      </c>
      <c r="Q2">
        <v>89407291</v>
      </c>
      <c r="R2">
        <v>89407193</v>
      </c>
      <c r="S2">
        <v>89407064</v>
      </c>
      <c r="T2">
        <v>89407127</v>
      </c>
      <c r="U2">
        <v>89407198</v>
      </c>
      <c r="V2">
        <v>89407100</v>
      </c>
      <c r="W2">
        <v>89407082</v>
      </c>
      <c r="X2">
        <v>89407097</v>
      </c>
      <c r="Y2">
        <v>89407032</v>
      </c>
      <c r="Z2">
        <v>89407051</v>
      </c>
      <c r="AA2">
        <v>89407011</v>
      </c>
      <c r="AB2">
        <v>89407032</v>
      </c>
      <c r="AC2">
        <v>89407051</v>
      </c>
      <c r="AD2">
        <v>89407127</v>
      </c>
      <c r="AE2">
        <v>89407083</v>
      </c>
      <c r="AF2">
        <v>89407091</v>
      </c>
      <c r="AG2">
        <v>89406945</v>
      </c>
      <c r="AH2">
        <v>89407040</v>
      </c>
      <c r="AI2">
        <v>89406943</v>
      </c>
      <c r="AJ2">
        <v>89407064</v>
      </c>
    </row>
    <row r="3" spans="1:36" ht="23.25" x14ac:dyDescent="0.35">
      <c r="A3" s="16"/>
      <c r="B3" s="10"/>
      <c r="L3">
        <v>10345919</v>
      </c>
      <c r="M3">
        <v>10345808</v>
      </c>
      <c r="N3">
        <v>10345433</v>
      </c>
      <c r="O3">
        <v>10343949</v>
      </c>
      <c r="P3">
        <v>10345051</v>
      </c>
      <c r="Q3">
        <v>10344909</v>
      </c>
      <c r="R3">
        <v>10344665</v>
      </c>
      <c r="S3">
        <v>10343819</v>
      </c>
      <c r="T3">
        <v>10344203</v>
      </c>
      <c r="U3">
        <v>10344682</v>
      </c>
      <c r="V3">
        <v>10344026</v>
      </c>
      <c r="W3">
        <v>10343850</v>
      </c>
      <c r="X3">
        <v>10343897</v>
      </c>
      <c r="Y3">
        <v>10343563</v>
      </c>
      <c r="Z3">
        <v>10334256</v>
      </c>
      <c r="AA3">
        <v>10343496</v>
      </c>
      <c r="AB3">
        <v>10343563</v>
      </c>
      <c r="AC3">
        <v>10334256</v>
      </c>
      <c r="AD3">
        <v>10344203</v>
      </c>
      <c r="AE3">
        <v>10343922</v>
      </c>
      <c r="AF3">
        <v>10343999</v>
      </c>
      <c r="AG3">
        <v>10343138</v>
      </c>
      <c r="AH3">
        <v>10343585</v>
      </c>
      <c r="AI3">
        <v>10343053</v>
      </c>
      <c r="AJ3">
        <v>10343819</v>
      </c>
    </row>
    <row r="4" spans="1:36" ht="23.25" x14ac:dyDescent="0.35">
      <c r="A4" s="16"/>
      <c r="B4" s="10"/>
      <c r="C4" s="7" t="s">
        <v>126</v>
      </c>
      <c r="D4" s="1" t="s">
        <v>138</v>
      </c>
      <c r="E4" s="1" t="s">
        <v>152</v>
      </c>
      <c r="F4" s="1" t="s">
        <v>276</v>
      </c>
      <c r="G4" s="1" t="s">
        <v>395</v>
      </c>
      <c r="H4" s="1" t="s">
        <v>478</v>
      </c>
      <c r="I4" s="1" t="s">
        <v>545</v>
      </c>
      <c r="J4" s="1" t="s">
        <v>276</v>
      </c>
      <c r="K4" s="1" t="s">
        <v>575</v>
      </c>
      <c r="L4" s="1" t="s">
        <v>152</v>
      </c>
      <c r="M4" s="1" t="s">
        <v>478</v>
      </c>
      <c r="N4" s="1" t="s">
        <v>478</v>
      </c>
      <c r="O4" s="1" t="s">
        <v>1374</v>
      </c>
      <c r="P4" s="1" t="s">
        <v>1381</v>
      </c>
      <c r="Q4" s="1" t="s">
        <v>1386</v>
      </c>
      <c r="R4" s="1" t="s">
        <v>1388</v>
      </c>
      <c r="S4" s="1" t="s">
        <v>138</v>
      </c>
      <c r="T4" s="1" t="s">
        <v>1388</v>
      </c>
      <c r="U4" s="1" t="s">
        <v>1431</v>
      </c>
      <c r="V4" s="1" t="s">
        <v>1436</v>
      </c>
      <c r="W4" s="1" t="s">
        <v>1442</v>
      </c>
      <c r="X4" s="1" t="s">
        <v>1436</v>
      </c>
      <c r="Y4" s="1" t="s">
        <v>1442</v>
      </c>
      <c r="Z4" s="1" t="s">
        <v>126</v>
      </c>
      <c r="AA4" s="1" t="s">
        <v>1445</v>
      </c>
      <c r="AB4" s="1" t="s">
        <v>1442</v>
      </c>
      <c r="AC4" s="1" t="s">
        <v>126</v>
      </c>
      <c r="AD4" s="1" t="s">
        <v>1388</v>
      </c>
      <c r="AE4" s="1" t="s">
        <v>1446</v>
      </c>
      <c r="AF4" s="1" t="s">
        <v>1447</v>
      </c>
      <c r="AG4" s="1" t="s">
        <v>1460</v>
      </c>
      <c r="AH4" s="1" t="s">
        <v>395</v>
      </c>
      <c r="AI4" s="1" t="s">
        <v>1460</v>
      </c>
      <c r="AJ4" s="1" t="s">
        <v>138</v>
      </c>
    </row>
    <row r="5" spans="1:36" x14ac:dyDescent="0.25">
      <c r="C5" s="8"/>
    </row>
    <row r="6" spans="1:36" ht="15" customHeight="1" x14ac:dyDescent="0.25">
      <c r="A6" s="11">
        <f>(1-COUNTBLANK(C6:AJ6)/COLUMNS(C6:AJ6))</f>
        <v>1</v>
      </c>
      <c r="B6" s="12" t="str">
        <f t="array" aca="1" ref="B6" ca="1">OFFSET(C6,,MATCH(TRUE,C6:AJ6&lt;&gt;"",0)-1)</f>
        <v>General information</v>
      </c>
      <c r="C6" s="9" t="s">
        <v>0</v>
      </c>
      <c r="D6" s="5" t="s">
        <v>0</v>
      </c>
      <c r="E6" s="5" t="s">
        <v>0</v>
      </c>
      <c r="F6" s="5" t="s">
        <v>153</v>
      </c>
      <c r="G6" s="5" t="s">
        <v>277</v>
      </c>
      <c r="H6" s="5" t="s">
        <v>277</v>
      </c>
      <c r="I6" s="5" t="s">
        <v>479</v>
      </c>
      <c r="J6" s="5" t="s">
        <v>153</v>
      </c>
      <c r="K6" s="5" t="s">
        <v>153</v>
      </c>
      <c r="L6" s="5" t="s">
        <v>0</v>
      </c>
      <c r="M6" s="5" t="s">
        <v>0</v>
      </c>
      <c r="N6" s="5" t="s">
        <v>277</v>
      </c>
      <c r="O6" s="5" t="s">
        <v>0</v>
      </c>
      <c r="P6" s="5" t="s">
        <v>0</v>
      </c>
      <c r="Q6" s="5" t="s">
        <v>0</v>
      </c>
      <c r="R6" s="5" t="s">
        <v>0</v>
      </c>
      <c r="S6" s="5" t="s">
        <v>153</v>
      </c>
      <c r="T6" s="5" t="s">
        <v>0</v>
      </c>
      <c r="U6" s="5" t="s">
        <v>0</v>
      </c>
      <c r="V6" s="5" t="s">
        <v>0</v>
      </c>
      <c r="W6" s="5" t="s">
        <v>0</v>
      </c>
      <c r="X6" s="5" t="s">
        <v>0</v>
      </c>
      <c r="Y6" s="5" t="s">
        <v>0</v>
      </c>
      <c r="Z6" s="5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0</v>
      </c>
      <c r="AF6" s="5" t="s">
        <v>0</v>
      </c>
      <c r="AG6" s="5" t="s">
        <v>0</v>
      </c>
      <c r="AH6" s="5" t="s">
        <v>0</v>
      </c>
      <c r="AI6" s="5" t="s">
        <v>0</v>
      </c>
      <c r="AJ6" s="5" t="s">
        <v>153</v>
      </c>
    </row>
    <row r="7" spans="1:36" ht="18.75" x14ac:dyDescent="0.25">
      <c r="A7" s="11">
        <f t="shared" ref="A7:A70" si="1">(1-COUNTBLANK(C7:AJ7)/COLUMNS(C7:AJ7))</f>
        <v>1</v>
      </c>
      <c r="B7" s="13" t="str">
        <f t="array" aca="1" ref="B7" ca="1">OFFSET(C7,,MATCH(TRUE,C7:AJ7&lt;&gt;"",0)-1)</f>
        <v>Target Group</v>
      </c>
      <c r="C7" s="8" t="s">
        <v>1</v>
      </c>
      <c r="D7" t="s">
        <v>1</v>
      </c>
      <c r="E7" t="s">
        <v>1</v>
      </c>
      <c r="F7" t="s">
        <v>154</v>
      </c>
      <c r="G7" t="s">
        <v>278</v>
      </c>
      <c r="H7" t="s">
        <v>396</v>
      </c>
      <c r="I7" t="s">
        <v>154</v>
      </c>
      <c r="J7" t="s">
        <v>154</v>
      </c>
      <c r="K7" t="s">
        <v>154</v>
      </c>
      <c r="L7" t="s">
        <v>1</v>
      </c>
      <c r="M7" t="s">
        <v>1</v>
      </c>
      <c r="N7" t="s">
        <v>396</v>
      </c>
      <c r="O7" t="s">
        <v>1</v>
      </c>
      <c r="P7" t="s">
        <v>1</v>
      </c>
      <c r="Q7" t="s">
        <v>1</v>
      </c>
      <c r="R7" t="s">
        <v>1389</v>
      </c>
      <c r="S7" t="s">
        <v>154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154</v>
      </c>
    </row>
    <row r="8" spans="1:36" ht="18.75" x14ac:dyDescent="0.25">
      <c r="A8" s="11">
        <f t="shared" si="1"/>
        <v>1</v>
      </c>
      <c r="B8" s="13" t="str">
        <f t="array" aca="1" ref="B8" ca="1">OFFSET(C8,,MATCH(TRUE,C8:AJ8&lt;&gt;"",0)-1)</f>
        <v>Notes on technical documentation</v>
      </c>
      <c r="C8" s="8" t="s">
        <v>2</v>
      </c>
      <c r="D8" t="s">
        <v>2</v>
      </c>
      <c r="E8" t="s">
        <v>2</v>
      </c>
      <c r="F8" t="s">
        <v>155</v>
      </c>
      <c r="G8" t="s">
        <v>279</v>
      </c>
      <c r="H8" t="s">
        <v>397</v>
      </c>
      <c r="I8" t="s">
        <v>480</v>
      </c>
      <c r="J8" t="s">
        <v>155</v>
      </c>
      <c r="K8" t="s">
        <v>155</v>
      </c>
      <c r="L8" t="s">
        <v>2</v>
      </c>
      <c r="M8" t="s">
        <v>2</v>
      </c>
      <c r="N8" t="s">
        <v>397</v>
      </c>
      <c r="O8" t="s">
        <v>2</v>
      </c>
      <c r="P8" t="s">
        <v>2</v>
      </c>
      <c r="Q8" t="s">
        <v>2</v>
      </c>
      <c r="R8" t="s">
        <v>2</v>
      </c>
      <c r="S8" t="s">
        <v>480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 t="s">
        <v>2</v>
      </c>
      <c r="AH8" t="s">
        <v>2</v>
      </c>
      <c r="AI8" t="s">
        <v>2</v>
      </c>
      <c r="AJ8" t="s">
        <v>480</v>
      </c>
    </row>
    <row r="9" spans="1:36" ht="18.75" x14ac:dyDescent="0.25">
      <c r="A9" s="11">
        <f t="shared" si="1"/>
        <v>1</v>
      </c>
      <c r="B9" s="13" t="str">
        <f t="array" aca="1" ref="B9" ca="1">OFFSET(C9,,MATCH(TRUE,C9:AJ9&lt;&gt;"",0)-1)</f>
        <v>Machine assignment</v>
      </c>
      <c r="C9" s="8" t="s">
        <v>3</v>
      </c>
      <c r="D9" t="s">
        <v>3</v>
      </c>
      <c r="E9" t="s">
        <v>3</v>
      </c>
      <c r="F9" t="s">
        <v>156</v>
      </c>
      <c r="G9" t="s">
        <v>280</v>
      </c>
      <c r="H9" t="s">
        <v>280</v>
      </c>
      <c r="I9" t="s">
        <v>156</v>
      </c>
      <c r="J9" t="s">
        <v>156</v>
      </c>
      <c r="K9" t="s">
        <v>552</v>
      </c>
      <c r="L9" t="s">
        <v>3</v>
      </c>
      <c r="M9" t="s">
        <v>3</v>
      </c>
      <c r="N9" t="s">
        <v>280</v>
      </c>
      <c r="O9" t="s">
        <v>3</v>
      </c>
      <c r="P9" t="s">
        <v>3</v>
      </c>
      <c r="Q9" t="s">
        <v>3</v>
      </c>
      <c r="R9" t="s">
        <v>3</v>
      </c>
      <c r="S9" t="s">
        <v>156</v>
      </c>
      <c r="T9" t="s">
        <v>3</v>
      </c>
      <c r="U9" t="s">
        <v>3</v>
      </c>
      <c r="V9" t="s">
        <v>3</v>
      </c>
      <c r="W9" t="s">
        <v>3</v>
      </c>
      <c r="X9" t="s">
        <v>3</v>
      </c>
      <c r="Y9" t="s">
        <v>3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E9" t="s">
        <v>3</v>
      </c>
      <c r="AF9" t="s">
        <v>3</v>
      </c>
      <c r="AG9" t="s">
        <v>3</v>
      </c>
      <c r="AH9" t="s">
        <v>3</v>
      </c>
      <c r="AI9" t="s">
        <v>3</v>
      </c>
      <c r="AJ9" t="s">
        <v>156</v>
      </c>
    </row>
    <row r="10" spans="1:36" ht="18.75" x14ac:dyDescent="0.25">
      <c r="A10" s="11">
        <f t="shared" si="1"/>
        <v>2.9411764705882359E-2</v>
      </c>
      <c r="B10" s="13" t="str">
        <f t="array" aca="1" ref="B10" ca="1">OFFSET(C10,,MATCH(TRUE,C10:AJ10&lt;&gt;"",0)-1)</f>
        <v>Componentes integrados</v>
      </c>
      <c r="C10" s="8"/>
      <c r="I10" t="s">
        <v>481</v>
      </c>
    </row>
    <row r="11" spans="1:36" ht="18.75" x14ac:dyDescent="0.25">
      <c r="A11" s="11">
        <f t="shared" si="1"/>
        <v>1</v>
      </c>
      <c r="B11" s="13" t="str">
        <f t="array" aca="1" ref="B11" ca="1">OFFSET(C11,,MATCH(TRUE,C11:AJ11&lt;&gt;"",0)-1)</f>
        <v>Customer Service</v>
      </c>
      <c r="C11" s="8" t="s">
        <v>4</v>
      </c>
      <c r="D11" t="s">
        <v>4</v>
      </c>
      <c r="E11" t="s">
        <v>4</v>
      </c>
      <c r="F11" t="s">
        <v>157</v>
      </c>
      <c r="G11" t="s">
        <v>281</v>
      </c>
      <c r="H11" t="s">
        <v>281</v>
      </c>
      <c r="I11" t="s">
        <v>157</v>
      </c>
      <c r="J11" t="s">
        <v>157</v>
      </c>
      <c r="K11" t="s">
        <v>157</v>
      </c>
      <c r="L11" t="s">
        <v>4</v>
      </c>
      <c r="M11" t="s">
        <v>4</v>
      </c>
      <c r="N11" t="s">
        <v>281</v>
      </c>
      <c r="O11" t="s">
        <v>4</v>
      </c>
      <c r="P11" t="s">
        <v>4</v>
      </c>
      <c r="Q11" t="s">
        <v>4</v>
      </c>
      <c r="R11" t="s">
        <v>1390</v>
      </c>
      <c r="S11" t="s">
        <v>157</v>
      </c>
      <c r="T11" t="s">
        <v>4</v>
      </c>
      <c r="U11" t="s">
        <v>4</v>
      </c>
      <c r="V11" t="s">
        <v>4</v>
      </c>
      <c r="W11" t="s">
        <v>4</v>
      </c>
      <c r="X11" t="s">
        <v>4</v>
      </c>
      <c r="Y11" t="s">
        <v>4</v>
      </c>
      <c r="Z11" t="s">
        <v>4</v>
      </c>
      <c r="AA11" t="s">
        <v>4</v>
      </c>
      <c r="AB11" t="s">
        <v>4</v>
      </c>
      <c r="AC11" t="s">
        <v>4</v>
      </c>
      <c r="AD11" t="s">
        <v>4</v>
      </c>
      <c r="AE11" t="s">
        <v>4</v>
      </c>
      <c r="AF11" t="s">
        <v>4</v>
      </c>
      <c r="AG11" t="s">
        <v>4</v>
      </c>
      <c r="AH11" t="s">
        <v>4</v>
      </c>
      <c r="AI11" t="s">
        <v>4</v>
      </c>
      <c r="AJ11" t="s">
        <v>157</v>
      </c>
    </row>
    <row r="12" spans="1:36" ht="18.75" x14ac:dyDescent="0.25">
      <c r="A12" s="11">
        <f t="shared" si="1"/>
        <v>1</v>
      </c>
      <c r="B12" s="13" t="str">
        <f t="array" aca="1" ref="B12" ca="1">OFFSET(C12,,MATCH(TRUE,C12:AJ12&lt;&gt;"",0)-1)</f>
        <v>Copyright</v>
      </c>
      <c r="C12" s="8" t="s">
        <v>5</v>
      </c>
      <c r="D12" t="s">
        <v>5</v>
      </c>
      <c r="E12" t="s">
        <v>5</v>
      </c>
      <c r="F12" t="s">
        <v>158</v>
      </c>
      <c r="G12" t="s">
        <v>282</v>
      </c>
      <c r="H12" t="s">
        <v>282</v>
      </c>
      <c r="I12" t="s">
        <v>158</v>
      </c>
      <c r="J12" t="s">
        <v>158</v>
      </c>
      <c r="K12" t="s">
        <v>158</v>
      </c>
      <c r="L12" t="s">
        <v>5</v>
      </c>
      <c r="M12" t="s">
        <v>5</v>
      </c>
      <c r="N12" t="s">
        <v>282</v>
      </c>
      <c r="O12" t="s">
        <v>5</v>
      </c>
      <c r="P12" t="s">
        <v>5</v>
      </c>
      <c r="Q12" t="s">
        <v>5</v>
      </c>
      <c r="R12" t="s">
        <v>5</v>
      </c>
      <c r="S12" t="s">
        <v>158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  <c r="AB12" t="s">
        <v>5</v>
      </c>
      <c r="AC12" t="s">
        <v>5</v>
      </c>
      <c r="AD12" t="s">
        <v>5</v>
      </c>
      <c r="AE12" t="s">
        <v>5</v>
      </c>
      <c r="AF12" t="s">
        <v>5</v>
      </c>
      <c r="AG12" t="s">
        <v>5</v>
      </c>
      <c r="AH12" t="s">
        <v>5</v>
      </c>
      <c r="AI12" t="s">
        <v>5</v>
      </c>
      <c r="AJ12" t="s">
        <v>158</v>
      </c>
    </row>
    <row r="13" spans="1:36" ht="18.75" x14ac:dyDescent="0.25">
      <c r="A13" s="11">
        <f t="shared" si="1"/>
        <v>1</v>
      </c>
      <c r="B13" s="13" t="str">
        <f t="array" aca="1" ref="B13" ca="1">OFFSET(C13,,MATCH(TRUE,C13:AJ13&lt;&gt;"",0)-1)</f>
        <v>Notes on reading this manual</v>
      </c>
      <c r="C13" s="8" t="s">
        <v>6</v>
      </c>
      <c r="D13" t="s">
        <v>6</v>
      </c>
      <c r="E13" t="s">
        <v>6</v>
      </c>
      <c r="F13" t="s">
        <v>159</v>
      </c>
      <c r="G13" t="s">
        <v>283</v>
      </c>
      <c r="H13" t="s">
        <v>283</v>
      </c>
      <c r="I13" t="s">
        <v>482</v>
      </c>
      <c r="J13" t="s">
        <v>159</v>
      </c>
      <c r="K13" t="s">
        <v>159</v>
      </c>
      <c r="L13" t="s">
        <v>6</v>
      </c>
      <c r="M13" t="s">
        <v>6</v>
      </c>
      <c r="N13" t="s">
        <v>283</v>
      </c>
      <c r="O13" t="s">
        <v>6</v>
      </c>
      <c r="P13" t="s">
        <v>6</v>
      </c>
      <c r="Q13" t="s">
        <v>6</v>
      </c>
      <c r="R13" t="s">
        <v>1391</v>
      </c>
      <c r="S13" t="s">
        <v>482</v>
      </c>
      <c r="T13" t="s">
        <v>6</v>
      </c>
      <c r="U13" t="s">
        <v>6</v>
      </c>
      <c r="V13" t="s">
        <v>6</v>
      </c>
      <c r="W13" t="s">
        <v>6</v>
      </c>
      <c r="X13" t="s">
        <v>6</v>
      </c>
      <c r="Y13" t="s">
        <v>6</v>
      </c>
      <c r="Z13" t="s">
        <v>6</v>
      </c>
      <c r="AA13" t="s">
        <v>6</v>
      </c>
      <c r="AB13" t="s">
        <v>6</v>
      </c>
      <c r="AC13" t="s">
        <v>6</v>
      </c>
      <c r="AD13" t="s">
        <v>6</v>
      </c>
      <c r="AE13" t="s">
        <v>6</v>
      </c>
      <c r="AF13" t="s">
        <v>6</v>
      </c>
      <c r="AG13" t="s">
        <v>6</v>
      </c>
      <c r="AH13" t="s">
        <v>6</v>
      </c>
      <c r="AI13" t="s">
        <v>6</v>
      </c>
      <c r="AJ13" t="s">
        <v>482</v>
      </c>
    </row>
    <row r="14" spans="1:36" ht="18.75" x14ac:dyDescent="0.25">
      <c r="A14" s="11">
        <f t="shared" si="1"/>
        <v>1</v>
      </c>
      <c r="B14" s="12" t="str">
        <f t="array" aca="1" ref="B14" ca="1">OFFSET(C14,,MATCH(TRUE,C14:AJ14&lt;&gt;"",0)-1)</f>
        <v>Safety information</v>
      </c>
      <c r="C14" s="9" t="s">
        <v>7</v>
      </c>
      <c r="D14" s="5" t="s">
        <v>7</v>
      </c>
      <c r="E14" s="5" t="s">
        <v>7</v>
      </c>
      <c r="F14" s="5" t="s">
        <v>160</v>
      </c>
      <c r="G14" s="5" t="s">
        <v>284</v>
      </c>
      <c r="H14" s="5" t="s">
        <v>284</v>
      </c>
      <c r="I14" s="5" t="s">
        <v>160</v>
      </c>
      <c r="J14" s="5" t="s">
        <v>160</v>
      </c>
      <c r="K14" s="5" t="s">
        <v>160</v>
      </c>
      <c r="L14" s="5" t="s">
        <v>7</v>
      </c>
      <c r="M14" s="5" t="s">
        <v>7</v>
      </c>
      <c r="N14" s="5" t="s">
        <v>284</v>
      </c>
      <c r="O14" s="5" t="s">
        <v>7</v>
      </c>
      <c r="P14" s="5" t="s">
        <v>7</v>
      </c>
      <c r="Q14" s="5" t="s">
        <v>7</v>
      </c>
      <c r="R14" s="5" t="s">
        <v>7</v>
      </c>
      <c r="S14" s="5" t="s">
        <v>160</v>
      </c>
      <c r="T14" s="5" t="s">
        <v>7</v>
      </c>
      <c r="U14" s="5" t="s">
        <v>7</v>
      </c>
      <c r="V14" s="5" t="s">
        <v>7</v>
      </c>
      <c r="W14" s="5" t="s">
        <v>7</v>
      </c>
      <c r="X14" s="5" t="s">
        <v>7</v>
      </c>
      <c r="Y14" s="5" t="s">
        <v>7</v>
      </c>
      <c r="Z14" s="5" t="s">
        <v>7</v>
      </c>
      <c r="AA14" s="5" t="s">
        <v>7</v>
      </c>
      <c r="AB14" s="5" t="s">
        <v>7</v>
      </c>
      <c r="AC14" s="5" t="s">
        <v>7</v>
      </c>
      <c r="AD14" s="5" t="s">
        <v>7</v>
      </c>
      <c r="AE14" s="5" t="s">
        <v>7</v>
      </c>
      <c r="AF14" s="5" t="s">
        <v>7</v>
      </c>
      <c r="AG14" s="5" t="s">
        <v>7</v>
      </c>
      <c r="AH14" s="5" t="s">
        <v>7</v>
      </c>
      <c r="AI14" s="5" t="s">
        <v>7</v>
      </c>
      <c r="AJ14" s="5" t="s">
        <v>160</v>
      </c>
    </row>
    <row r="15" spans="1:36" ht="18.75" x14ac:dyDescent="0.25">
      <c r="A15" s="11">
        <f t="shared" si="1"/>
        <v>1</v>
      </c>
      <c r="B15" s="13" t="str">
        <f t="array" aca="1" ref="B15" ca="1">OFFSET(C15,,MATCH(TRUE,C15:AJ15&lt;&gt;"",0)-1)</f>
        <v>Purpose of safety information</v>
      </c>
      <c r="C15" s="8" t="s">
        <v>8</v>
      </c>
      <c r="D15" t="s">
        <v>8</v>
      </c>
      <c r="E15" t="s">
        <v>8</v>
      </c>
      <c r="F15" t="s">
        <v>161</v>
      </c>
      <c r="G15" t="s">
        <v>285</v>
      </c>
      <c r="H15" t="s">
        <v>285</v>
      </c>
      <c r="I15" t="s">
        <v>483</v>
      </c>
      <c r="J15" t="s">
        <v>161</v>
      </c>
      <c r="K15" t="s">
        <v>161</v>
      </c>
      <c r="L15" t="s">
        <v>8</v>
      </c>
      <c r="M15" t="s">
        <v>8</v>
      </c>
      <c r="N15" t="s">
        <v>285</v>
      </c>
      <c r="O15" t="s">
        <v>8</v>
      </c>
      <c r="P15" t="s">
        <v>8</v>
      </c>
      <c r="Q15" t="s">
        <v>8</v>
      </c>
      <c r="R15" t="s">
        <v>8</v>
      </c>
      <c r="S15" t="s">
        <v>483</v>
      </c>
      <c r="T15" t="s">
        <v>8</v>
      </c>
      <c r="U15" t="s">
        <v>8</v>
      </c>
      <c r="V15" t="s">
        <v>8</v>
      </c>
      <c r="W15" t="s">
        <v>8</v>
      </c>
      <c r="X15" t="s">
        <v>8</v>
      </c>
      <c r="Y15" t="s">
        <v>8</v>
      </c>
      <c r="Z15" t="s">
        <v>8</v>
      </c>
      <c r="AA15" t="s">
        <v>8</v>
      </c>
      <c r="AB15" t="s">
        <v>8</v>
      </c>
      <c r="AC15" t="s">
        <v>8</v>
      </c>
      <c r="AD15" t="s">
        <v>8</v>
      </c>
      <c r="AE15" t="s">
        <v>8</v>
      </c>
      <c r="AF15" t="s">
        <v>8</v>
      </c>
      <c r="AG15" t="s">
        <v>8</v>
      </c>
      <c r="AH15" t="s">
        <v>8</v>
      </c>
      <c r="AI15" t="s">
        <v>8</v>
      </c>
      <c r="AJ15" t="s">
        <v>483</v>
      </c>
    </row>
    <row r="16" spans="1:36" ht="18.75" x14ac:dyDescent="0.25">
      <c r="A16" s="11">
        <f t="shared" si="1"/>
        <v>1</v>
      </c>
      <c r="B16" s="13" t="str">
        <f t="array" aca="1" ref="B16" ca="1">OFFSET(C16,,MATCH(TRUE,C16:AJ16&lt;&gt;"",0)-1)</f>
        <v>Intended use</v>
      </c>
      <c r="C16" s="8" t="s">
        <v>9</v>
      </c>
      <c r="D16" t="s">
        <v>9</v>
      </c>
      <c r="E16" t="s">
        <v>9</v>
      </c>
      <c r="F16" t="s">
        <v>162</v>
      </c>
      <c r="G16" t="s">
        <v>286</v>
      </c>
      <c r="H16" t="s">
        <v>398</v>
      </c>
      <c r="I16" t="s">
        <v>162</v>
      </c>
      <c r="J16" t="s">
        <v>162</v>
      </c>
      <c r="K16" t="s">
        <v>162</v>
      </c>
      <c r="L16" t="s">
        <v>9</v>
      </c>
      <c r="M16" t="s">
        <v>9</v>
      </c>
      <c r="N16" t="s">
        <v>398</v>
      </c>
      <c r="O16" t="s">
        <v>9</v>
      </c>
      <c r="P16" t="s">
        <v>9</v>
      </c>
      <c r="Q16" t="s">
        <v>9</v>
      </c>
      <c r="R16" t="s">
        <v>9</v>
      </c>
      <c r="S16" t="s">
        <v>162</v>
      </c>
      <c r="T16" t="s">
        <v>9</v>
      </c>
      <c r="U16" t="s">
        <v>9</v>
      </c>
      <c r="V16" t="s">
        <v>9</v>
      </c>
      <c r="W16" t="s">
        <v>9</v>
      </c>
      <c r="X16" t="s">
        <v>9</v>
      </c>
      <c r="Y16" t="s">
        <v>9</v>
      </c>
      <c r="Z16" t="s">
        <v>9</v>
      </c>
      <c r="AA16" t="s">
        <v>9</v>
      </c>
      <c r="AB16" t="s">
        <v>9</v>
      </c>
      <c r="AC16" t="s">
        <v>9</v>
      </c>
      <c r="AD16" t="s">
        <v>9</v>
      </c>
      <c r="AE16" t="s">
        <v>9</v>
      </c>
      <c r="AF16" t="s">
        <v>9</v>
      </c>
      <c r="AG16" t="s">
        <v>9</v>
      </c>
      <c r="AH16" t="s">
        <v>9</v>
      </c>
      <c r="AI16" t="s">
        <v>9</v>
      </c>
      <c r="AJ16" t="s">
        <v>162</v>
      </c>
    </row>
    <row r="17" spans="1:36" ht="18.75" x14ac:dyDescent="0.25">
      <c r="A17" s="11">
        <f t="shared" si="1"/>
        <v>1</v>
      </c>
      <c r="B17" s="13" t="str">
        <f t="array" aca="1" ref="B17" ca="1">OFFSET(C17,,MATCH(TRUE,C17:AJ17&lt;&gt;"",0)-1)</f>
        <v>Reasonably foreseeable misuse</v>
      </c>
      <c r="C17" s="8" t="s">
        <v>10</v>
      </c>
      <c r="D17" t="s">
        <v>10</v>
      </c>
      <c r="E17" t="s">
        <v>10</v>
      </c>
      <c r="F17" t="s">
        <v>163</v>
      </c>
      <c r="G17" t="s">
        <v>287</v>
      </c>
      <c r="H17" t="s">
        <v>399</v>
      </c>
      <c r="I17" t="s">
        <v>484</v>
      </c>
      <c r="J17" t="s">
        <v>546</v>
      </c>
      <c r="K17" t="s">
        <v>546</v>
      </c>
      <c r="L17" t="s">
        <v>10</v>
      </c>
      <c r="M17" t="s">
        <v>10</v>
      </c>
      <c r="N17" t="s">
        <v>399</v>
      </c>
      <c r="O17" t="s">
        <v>10</v>
      </c>
      <c r="P17" t="s">
        <v>10</v>
      </c>
      <c r="Q17" t="s">
        <v>10</v>
      </c>
      <c r="R17" t="s">
        <v>10</v>
      </c>
      <c r="S17" t="s">
        <v>484</v>
      </c>
      <c r="T17" t="s">
        <v>10</v>
      </c>
      <c r="U17" t="s">
        <v>10</v>
      </c>
      <c r="V17" t="s">
        <v>10</v>
      </c>
      <c r="W17" t="s">
        <v>10</v>
      </c>
      <c r="X17" t="s">
        <v>10</v>
      </c>
      <c r="Y17" t="s">
        <v>10</v>
      </c>
      <c r="Z17" t="s">
        <v>10</v>
      </c>
      <c r="AA17" t="s">
        <v>10</v>
      </c>
      <c r="AB17" t="s">
        <v>10</v>
      </c>
      <c r="AC17" t="s">
        <v>10</v>
      </c>
      <c r="AD17" t="s">
        <v>10</v>
      </c>
      <c r="AE17" t="s">
        <v>10</v>
      </c>
      <c r="AF17" t="s">
        <v>10</v>
      </c>
      <c r="AG17" t="s">
        <v>10</v>
      </c>
      <c r="AH17" t="s">
        <v>10</v>
      </c>
      <c r="AI17" t="s">
        <v>10</v>
      </c>
      <c r="AJ17" t="s">
        <v>484</v>
      </c>
    </row>
    <row r="18" spans="1:36" ht="18.75" x14ac:dyDescent="0.25">
      <c r="A18" s="11">
        <f t="shared" si="1"/>
        <v>1</v>
      </c>
      <c r="B18" s="13" t="str">
        <f t="array" aca="1" ref="B18" ca="1">OFFSET(C18,,MATCH(TRUE,C18:AJ18&lt;&gt;"",0)-1)</f>
        <v>Obligations of the operator</v>
      </c>
      <c r="C18" s="8" t="s">
        <v>11</v>
      </c>
      <c r="D18" t="s">
        <v>11</v>
      </c>
      <c r="E18" t="s">
        <v>11</v>
      </c>
      <c r="F18" t="s">
        <v>164</v>
      </c>
      <c r="G18" t="s">
        <v>288</v>
      </c>
      <c r="H18" t="s">
        <v>400</v>
      </c>
      <c r="I18" t="s">
        <v>164</v>
      </c>
      <c r="J18" t="s">
        <v>164</v>
      </c>
      <c r="K18" t="s">
        <v>164</v>
      </c>
      <c r="L18" t="s">
        <v>11</v>
      </c>
      <c r="M18" t="s">
        <v>11</v>
      </c>
      <c r="N18" t="s">
        <v>400</v>
      </c>
      <c r="O18" t="s">
        <v>11</v>
      </c>
      <c r="P18" t="s">
        <v>11</v>
      </c>
      <c r="Q18" t="s">
        <v>11</v>
      </c>
      <c r="R18" t="s">
        <v>11</v>
      </c>
      <c r="S18" t="s">
        <v>164</v>
      </c>
      <c r="T18" t="s">
        <v>11</v>
      </c>
      <c r="U18" t="s">
        <v>11</v>
      </c>
      <c r="V18" t="s">
        <v>11</v>
      </c>
      <c r="W18" t="s">
        <v>11</v>
      </c>
      <c r="X18" t="s">
        <v>11</v>
      </c>
      <c r="Y18" t="s">
        <v>11</v>
      </c>
      <c r="Z18" t="s">
        <v>11</v>
      </c>
      <c r="AA18" t="s">
        <v>11</v>
      </c>
      <c r="AB18" t="s">
        <v>11</v>
      </c>
      <c r="AC18" t="s">
        <v>11</v>
      </c>
      <c r="AD18" t="s">
        <v>11</v>
      </c>
      <c r="AE18" t="s">
        <v>11</v>
      </c>
      <c r="AF18" t="s">
        <v>11</v>
      </c>
      <c r="AG18" t="s">
        <v>11</v>
      </c>
      <c r="AH18" t="s">
        <v>11</v>
      </c>
      <c r="AI18" t="s">
        <v>11</v>
      </c>
      <c r="AJ18" t="s">
        <v>164</v>
      </c>
    </row>
    <row r="19" spans="1:36" ht="18.75" x14ac:dyDescent="0.25">
      <c r="A19" s="11">
        <f t="shared" si="1"/>
        <v>1</v>
      </c>
      <c r="B19" s="13" t="str">
        <f t="array" aca="1" ref="B19" ca="1">OFFSET(C19,,MATCH(TRUE,C19:AJ19&lt;&gt;"",0)-1)</f>
        <v>Personnel requirements</v>
      </c>
      <c r="C19" s="8" t="s">
        <v>12</v>
      </c>
      <c r="D19" t="s">
        <v>12</v>
      </c>
      <c r="E19" t="s">
        <v>12</v>
      </c>
      <c r="F19" t="s">
        <v>165</v>
      </c>
      <c r="G19" t="s">
        <v>289</v>
      </c>
      <c r="H19" t="s">
        <v>401</v>
      </c>
      <c r="I19" t="s">
        <v>485</v>
      </c>
      <c r="J19" t="s">
        <v>165</v>
      </c>
      <c r="K19" t="s">
        <v>165</v>
      </c>
      <c r="L19" t="s">
        <v>12</v>
      </c>
      <c r="M19" t="s">
        <v>12</v>
      </c>
      <c r="N19" t="s">
        <v>401</v>
      </c>
      <c r="O19" t="s">
        <v>12</v>
      </c>
      <c r="P19" t="s">
        <v>12</v>
      </c>
      <c r="Q19" t="s">
        <v>12</v>
      </c>
      <c r="R19" t="s">
        <v>12</v>
      </c>
      <c r="S19" t="s">
        <v>485</v>
      </c>
      <c r="T19" t="s">
        <v>12</v>
      </c>
      <c r="U19" t="s">
        <v>12</v>
      </c>
      <c r="V19" t="s">
        <v>12</v>
      </c>
      <c r="W19" t="s">
        <v>12</v>
      </c>
      <c r="X19" t="s">
        <v>12</v>
      </c>
      <c r="Y19" t="s">
        <v>12</v>
      </c>
      <c r="Z19" t="s">
        <v>12</v>
      </c>
      <c r="AA19" t="s">
        <v>12</v>
      </c>
      <c r="AB19" t="s">
        <v>12</v>
      </c>
      <c r="AC19" t="s">
        <v>12</v>
      </c>
      <c r="AD19" t="s">
        <v>12</v>
      </c>
      <c r="AE19" t="s">
        <v>12</v>
      </c>
      <c r="AF19" t="s">
        <v>12</v>
      </c>
      <c r="AG19" t="s">
        <v>12</v>
      </c>
      <c r="AH19" t="s">
        <v>12</v>
      </c>
      <c r="AI19" t="s">
        <v>12</v>
      </c>
      <c r="AJ19" t="s">
        <v>485</v>
      </c>
    </row>
    <row r="20" spans="1:36" ht="18.75" x14ac:dyDescent="0.25">
      <c r="A20" s="11">
        <f t="shared" si="1"/>
        <v>1</v>
      </c>
      <c r="B20" s="13" t="str">
        <f t="array" aca="1" ref="B20" ca="1">OFFSET(C20,,MATCH(TRUE,C20:AJ20&lt;&gt;"",0)-1)</f>
        <v>Protective equipment</v>
      </c>
      <c r="C20" s="8" t="s">
        <v>13</v>
      </c>
      <c r="D20" t="s">
        <v>13</v>
      </c>
      <c r="E20" t="s">
        <v>13</v>
      </c>
      <c r="F20" t="s">
        <v>166</v>
      </c>
      <c r="G20" t="s">
        <v>290</v>
      </c>
      <c r="H20" t="s">
        <v>402</v>
      </c>
      <c r="I20" t="s">
        <v>166</v>
      </c>
      <c r="J20" t="s">
        <v>166</v>
      </c>
      <c r="K20" t="s">
        <v>166</v>
      </c>
      <c r="L20" t="s">
        <v>13</v>
      </c>
      <c r="M20" t="s">
        <v>13</v>
      </c>
      <c r="N20" t="s">
        <v>402</v>
      </c>
      <c r="O20" t="s">
        <v>13</v>
      </c>
      <c r="P20" t="s">
        <v>13</v>
      </c>
      <c r="Q20" t="s">
        <v>13</v>
      </c>
      <c r="R20" t="s">
        <v>13</v>
      </c>
      <c r="S20" t="s">
        <v>166</v>
      </c>
      <c r="T20" t="s">
        <v>13</v>
      </c>
      <c r="U20" t="s">
        <v>13</v>
      </c>
      <c r="V20" t="s">
        <v>13</v>
      </c>
      <c r="W20" t="s">
        <v>13</v>
      </c>
      <c r="X20" t="s">
        <v>13</v>
      </c>
      <c r="Y20" t="s">
        <v>13</v>
      </c>
      <c r="Z20" t="s">
        <v>13</v>
      </c>
      <c r="AA20" t="s">
        <v>13</v>
      </c>
      <c r="AB20" t="s">
        <v>13</v>
      </c>
      <c r="AC20" t="s">
        <v>13</v>
      </c>
      <c r="AD20" t="s">
        <v>13</v>
      </c>
      <c r="AE20" t="s">
        <v>13</v>
      </c>
      <c r="AF20" t="s">
        <v>13</v>
      </c>
      <c r="AG20" t="s">
        <v>13</v>
      </c>
      <c r="AH20" t="s">
        <v>13</v>
      </c>
      <c r="AI20" t="s">
        <v>13</v>
      </c>
      <c r="AJ20" t="s">
        <v>166</v>
      </c>
    </row>
    <row r="21" spans="1:36" ht="18.75" x14ac:dyDescent="0.25">
      <c r="A21" s="11">
        <f t="shared" si="1"/>
        <v>1</v>
      </c>
      <c r="B21" s="13" t="str">
        <f t="array" aca="1" ref="B21" ca="1">OFFSET(C21,,MATCH(TRUE,C21:AJ21&lt;&gt;"",0)-1)</f>
        <v>Hazardous areas and identification of these areas</v>
      </c>
      <c r="C21" s="8" t="s">
        <v>14</v>
      </c>
      <c r="D21" t="s">
        <v>14</v>
      </c>
      <c r="E21" t="s">
        <v>14</v>
      </c>
      <c r="F21" t="s">
        <v>167</v>
      </c>
      <c r="G21" t="s">
        <v>291</v>
      </c>
      <c r="H21" t="s">
        <v>403</v>
      </c>
      <c r="I21" t="s">
        <v>486</v>
      </c>
      <c r="J21" t="s">
        <v>167</v>
      </c>
      <c r="K21" t="s">
        <v>167</v>
      </c>
      <c r="L21" t="s">
        <v>14</v>
      </c>
      <c r="M21" t="s">
        <v>14</v>
      </c>
      <c r="N21" t="s">
        <v>403</v>
      </c>
      <c r="O21" t="s">
        <v>14</v>
      </c>
      <c r="P21" t="s">
        <v>14</v>
      </c>
      <c r="Q21" t="s">
        <v>14</v>
      </c>
      <c r="R21" t="s">
        <v>14</v>
      </c>
      <c r="S21" t="s">
        <v>486</v>
      </c>
      <c r="T21" t="s">
        <v>14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B21" t="s">
        <v>14</v>
      </c>
      <c r="AC21" t="s">
        <v>14</v>
      </c>
      <c r="AD21" t="s">
        <v>14</v>
      </c>
      <c r="AE21" t="s">
        <v>14</v>
      </c>
      <c r="AF21" t="s">
        <v>14</v>
      </c>
      <c r="AG21" t="s">
        <v>14</v>
      </c>
      <c r="AH21" t="s">
        <v>14</v>
      </c>
      <c r="AI21" t="s">
        <v>14</v>
      </c>
      <c r="AJ21" t="s">
        <v>486</v>
      </c>
    </row>
    <row r="22" spans="1:36" ht="18.75" x14ac:dyDescent="0.25">
      <c r="A22" s="11">
        <f t="shared" si="1"/>
        <v>0.47058823529411764</v>
      </c>
      <c r="B22" s="13" t="str">
        <f t="array" aca="1" ref="B22" ca="1">OFFSET(C22,,MATCH(TRUE,C22:AJ22&lt;&gt;"",0)-1)</f>
        <v>Prohibitory signs</v>
      </c>
      <c r="C22" s="8"/>
      <c r="E22" t="s">
        <v>139</v>
      </c>
      <c r="H22" t="s">
        <v>404</v>
      </c>
      <c r="L22" t="s">
        <v>139</v>
      </c>
      <c r="M22" t="s">
        <v>139</v>
      </c>
      <c r="N22" t="s">
        <v>404</v>
      </c>
      <c r="O22" t="s">
        <v>139</v>
      </c>
      <c r="Q22" t="s">
        <v>139</v>
      </c>
      <c r="R22" t="s">
        <v>139</v>
      </c>
      <c r="T22" t="s">
        <v>139</v>
      </c>
      <c r="U22" t="s">
        <v>139</v>
      </c>
      <c r="V22" t="s">
        <v>139</v>
      </c>
      <c r="W22" t="s">
        <v>139</v>
      </c>
      <c r="X22" t="s">
        <v>139</v>
      </c>
      <c r="Y22" t="s">
        <v>139</v>
      </c>
      <c r="AB22" t="s">
        <v>139</v>
      </c>
      <c r="AD22" t="s">
        <v>139</v>
      </c>
    </row>
    <row r="23" spans="1:36" ht="18.75" x14ac:dyDescent="0.25">
      <c r="A23" s="11">
        <f t="shared" si="1"/>
        <v>1</v>
      </c>
      <c r="B23" s="13" t="str">
        <f t="array" aca="1" ref="B23" ca="1">OFFSET(C23,,MATCH(TRUE,C23:AJ23&lt;&gt;"",0)-1)</f>
        <v>Warning signs</v>
      </c>
      <c r="C23" s="8" t="s">
        <v>15</v>
      </c>
      <c r="D23" t="s">
        <v>15</v>
      </c>
      <c r="E23" t="s">
        <v>15</v>
      </c>
      <c r="F23" t="s">
        <v>168</v>
      </c>
      <c r="G23" t="s">
        <v>292</v>
      </c>
      <c r="H23" t="s">
        <v>405</v>
      </c>
      <c r="I23" t="s">
        <v>168</v>
      </c>
      <c r="J23" t="s">
        <v>168</v>
      </c>
      <c r="K23" t="s">
        <v>168</v>
      </c>
      <c r="L23" t="s">
        <v>15</v>
      </c>
      <c r="M23" t="s">
        <v>15</v>
      </c>
      <c r="N23" t="s">
        <v>405</v>
      </c>
      <c r="O23" t="s">
        <v>15</v>
      </c>
      <c r="P23" t="s">
        <v>15</v>
      </c>
      <c r="Q23" t="s">
        <v>15</v>
      </c>
      <c r="R23" t="s">
        <v>15</v>
      </c>
      <c r="S23" t="s">
        <v>168</v>
      </c>
      <c r="T23" t="s">
        <v>15</v>
      </c>
      <c r="U23" t="s">
        <v>15</v>
      </c>
      <c r="V23" t="s">
        <v>15</v>
      </c>
      <c r="W23" t="s">
        <v>15</v>
      </c>
      <c r="X23" t="s">
        <v>15</v>
      </c>
      <c r="Y23" t="s">
        <v>15</v>
      </c>
      <c r="Z23" t="s">
        <v>15</v>
      </c>
      <c r="AA23" t="s">
        <v>15</v>
      </c>
      <c r="AB23" t="s">
        <v>15</v>
      </c>
      <c r="AC23" t="s">
        <v>15</v>
      </c>
      <c r="AD23" t="s">
        <v>15</v>
      </c>
      <c r="AE23" t="s">
        <v>15</v>
      </c>
      <c r="AF23" t="s">
        <v>15</v>
      </c>
      <c r="AG23" t="s">
        <v>15</v>
      </c>
      <c r="AH23" t="s">
        <v>15</v>
      </c>
      <c r="AI23" t="s">
        <v>15</v>
      </c>
      <c r="AJ23" t="s">
        <v>168</v>
      </c>
    </row>
    <row r="24" spans="1:36" ht="18.75" x14ac:dyDescent="0.25">
      <c r="A24" s="11">
        <f t="shared" si="1"/>
        <v>0.91176470588235292</v>
      </c>
      <c r="B24" s="13" t="str">
        <f t="array" aca="1" ref="B24" ca="1">OFFSET(C24,,MATCH(TRUE,C24:AJ24&lt;&gt;"",0)-1)</f>
        <v>Mandatory signs</v>
      </c>
      <c r="C24" s="8"/>
      <c r="D24" t="s">
        <v>127</v>
      </c>
      <c r="E24" t="s">
        <v>127</v>
      </c>
      <c r="F24" t="s">
        <v>169</v>
      </c>
      <c r="G24" t="s">
        <v>293</v>
      </c>
      <c r="H24" t="s">
        <v>406</v>
      </c>
      <c r="J24" t="s">
        <v>169</v>
      </c>
      <c r="K24" t="s">
        <v>169</v>
      </c>
      <c r="L24" t="s">
        <v>127</v>
      </c>
      <c r="M24" t="s">
        <v>127</v>
      </c>
      <c r="N24" t="s">
        <v>406</v>
      </c>
      <c r="O24" t="s">
        <v>127</v>
      </c>
      <c r="P24" t="s">
        <v>127</v>
      </c>
      <c r="Q24" t="s">
        <v>127</v>
      </c>
      <c r="R24" t="s">
        <v>1392</v>
      </c>
      <c r="S24" t="s">
        <v>169</v>
      </c>
      <c r="T24" t="s">
        <v>127</v>
      </c>
      <c r="U24" t="s">
        <v>127</v>
      </c>
      <c r="V24" t="s">
        <v>127</v>
      </c>
      <c r="W24" t="s">
        <v>127</v>
      </c>
      <c r="X24" t="s">
        <v>127</v>
      </c>
      <c r="Y24" t="s">
        <v>127</v>
      </c>
      <c r="AA24" t="s">
        <v>1392</v>
      </c>
      <c r="AB24" t="s">
        <v>127</v>
      </c>
      <c r="AC24" t="s">
        <v>16</v>
      </c>
      <c r="AD24" t="s">
        <v>127</v>
      </c>
      <c r="AE24" t="s">
        <v>127</v>
      </c>
      <c r="AF24" t="s">
        <v>127</v>
      </c>
      <c r="AG24" t="s">
        <v>1392</v>
      </c>
      <c r="AH24" t="s">
        <v>1392</v>
      </c>
      <c r="AI24" t="s">
        <v>1392</v>
      </c>
      <c r="AJ24" t="s">
        <v>169</v>
      </c>
    </row>
    <row r="25" spans="1:36" ht="18.75" x14ac:dyDescent="0.25">
      <c r="A25" s="11">
        <f t="shared" si="1"/>
        <v>1</v>
      </c>
      <c r="B25" s="13" t="str">
        <f t="array" aca="1" ref="B25" ca="1">OFFSET(C25,,MATCH(TRUE,C25:AJ25&lt;&gt;"",0)-1)</f>
        <v>Mounting location of signs</v>
      </c>
      <c r="C25" s="8" t="s">
        <v>16</v>
      </c>
      <c r="D25" t="s">
        <v>16</v>
      </c>
      <c r="E25" t="s">
        <v>16</v>
      </c>
      <c r="F25" t="s">
        <v>170</v>
      </c>
      <c r="G25" t="s">
        <v>294</v>
      </c>
      <c r="H25" t="s">
        <v>407</v>
      </c>
      <c r="I25" t="s">
        <v>487</v>
      </c>
      <c r="J25" t="s">
        <v>170</v>
      </c>
      <c r="K25" t="s">
        <v>170</v>
      </c>
      <c r="L25" t="s">
        <v>16</v>
      </c>
      <c r="M25" t="s">
        <v>16</v>
      </c>
      <c r="N25" t="s">
        <v>407</v>
      </c>
      <c r="O25" t="s">
        <v>16</v>
      </c>
      <c r="P25" t="s">
        <v>16</v>
      </c>
      <c r="Q25" t="s">
        <v>16</v>
      </c>
      <c r="R25" t="s">
        <v>16</v>
      </c>
      <c r="S25" t="s">
        <v>487</v>
      </c>
      <c r="T25" t="s">
        <v>16</v>
      </c>
      <c r="U25" t="s">
        <v>16</v>
      </c>
      <c r="V25" t="s">
        <v>16</v>
      </c>
      <c r="W25" t="s">
        <v>16</v>
      </c>
      <c r="X25" t="s">
        <v>16</v>
      </c>
      <c r="Y25" t="s">
        <v>16</v>
      </c>
      <c r="Z25" t="s">
        <v>16</v>
      </c>
      <c r="AA25" t="s">
        <v>16</v>
      </c>
      <c r="AB25" t="s">
        <v>16</v>
      </c>
      <c r="AC25" t="s">
        <v>17</v>
      </c>
      <c r="AD25" t="s">
        <v>16</v>
      </c>
      <c r="AE25" t="s">
        <v>16</v>
      </c>
      <c r="AF25" t="s">
        <v>16</v>
      </c>
      <c r="AG25" t="s">
        <v>16</v>
      </c>
      <c r="AH25" t="s">
        <v>16</v>
      </c>
      <c r="AI25" t="s">
        <v>16</v>
      </c>
      <c r="AJ25" t="s">
        <v>487</v>
      </c>
    </row>
    <row r="26" spans="1:36" ht="18.75" x14ac:dyDescent="0.25">
      <c r="A26" s="11">
        <f t="shared" si="1"/>
        <v>1</v>
      </c>
      <c r="B26" s="13" t="str">
        <f t="array" aca="1" ref="B26" ca="1">OFFSET(C26,,MATCH(TRUE,C26:AJ26&lt;&gt;"",0)-1)</f>
        <v>Safety equipment</v>
      </c>
      <c r="C26" s="8" t="s">
        <v>17</v>
      </c>
      <c r="D26" t="s">
        <v>17</v>
      </c>
      <c r="E26" t="s">
        <v>17</v>
      </c>
      <c r="F26" t="s">
        <v>171</v>
      </c>
      <c r="G26" t="s">
        <v>295</v>
      </c>
      <c r="H26" t="s">
        <v>295</v>
      </c>
      <c r="I26" t="s">
        <v>171</v>
      </c>
      <c r="J26" t="s">
        <v>171</v>
      </c>
      <c r="K26" t="s">
        <v>171</v>
      </c>
      <c r="L26" t="s">
        <v>17</v>
      </c>
      <c r="M26" t="s">
        <v>17</v>
      </c>
      <c r="N26" t="s">
        <v>295</v>
      </c>
      <c r="O26" t="s">
        <v>17</v>
      </c>
      <c r="P26" t="s">
        <v>17</v>
      </c>
      <c r="Q26" t="s">
        <v>17</v>
      </c>
      <c r="R26" t="s">
        <v>17</v>
      </c>
      <c r="S26" t="s">
        <v>171</v>
      </c>
      <c r="T26" t="s">
        <v>17</v>
      </c>
      <c r="U26" t="s">
        <v>17</v>
      </c>
      <c r="V26" t="s">
        <v>17</v>
      </c>
      <c r="W26" t="s">
        <v>17</v>
      </c>
      <c r="X26" t="s">
        <v>17</v>
      </c>
      <c r="Y26" t="s">
        <v>17</v>
      </c>
      <c r="Z26" t="s">
        <v>17</v>
      </c>
      <c r="AA26" t="s">
        <v>17</v>
      </c>
      <c r="AB26" t="s">
        <v>17</v>
      </c>
      <c r="AC26" t="s">
        <v>18</v>
      </c>
      <c r="AD26" t="s">
        <v>17</v>
      </c>
      <c r="AE26" t="s">
        <v>17</v>
      </c>
      <c r="AF26" t="s">
        <v>17</v>
      </c>
      <c r="AG26" t="s">
        <v>17</v>
      </c>
      <c r="AH26" t="s">
        <v>17</v>
      </c>
      <c r="AI26" t="s">
        <v>17</v>
      </c>
      <c r="AJ26" t="s">
        <v>171</v>
      </c>
    </row>
    <row r="27" spans="1:36" ht="18.75" x14ac:dyDescent="0.25">
      <c r="A27" s="11">
        <f t="shared" si="1"/>
        <v>1</v>
      </c>
      <c r="B27" s="13" t="str">
        <f t="array" aca="1" ref="B27" ca="1">OFFSET(C27,,MATCH(TRUE,C27:AJ27&lt;&gt;"",0)-1)</f>
        <v>Emergency stop</v>
      </c>
      <c r="C27" s="8" t="s">
        <v>18</v>
      </c>
      <c r="D27" t="s">
        <v>18</v>
      </c>
      <c r="E27" t="s">
        <v>18</v>
      </c>
      <c r="F27" t="s">
        <v>172</v>
      </c>
      <c r="G27" t="s">
        <v>296</v>
      </c>
      <c r="H27" t="s">
        <v>296</v>
      </c>
      <c r="I27" t="s">
        <v>488</v>
      </c>
      <c r="J27" t="s">
        <v>172</v>
      </c>
      <c r="K27" t="s">
        <v>172</v>
      </c>
      <c r="L27" t="s">
        <v>18</v>
      </c>
      <c r="M27" t="s">
        <v>18</v>
      </c>
      <c r="N27" t="s">
        <v>296</v>
      </c>
      <c r="O27" t="s">
        <v>18</v>
      </c>
      <c r="P27" t="s">
        <v>18</v>
      </c>
      <c r="Q27" t="s">
        <v>18</v>
      </c>
      <c r="R27" t="s">
        <v>18</v>
      </c>
      <c r="S27" t="s">
        <v>488</v>
      </c>
      <c r="T27" t="s">
        <v>18</v>
      </c>
      <c r="U27" t="s">
        <v>18</v>
      </c>
      <c r="V27" t="s">
        <v>18</v>
      </c>
      <c r="W27" t="s">
        <v>18</v>
      </c>
      <c r="X27" t="s">
        <v>18</v>
      </c>
      <c r="Y27" t="s">
        <v>18</v>
      </c>
      <c r="Z27" t="s">
        <v>18</v>
      </c>
      <c r="AA27" t="s">
        <v>18</v>
      </c>
      <c r="AB27" t="s">
        <v>18</v>
      </c>
      <c r="AC27" t="s">
        <v>19</v>
      </c>
      <c r="AD27" t="s">
        <v>18</v>
      </c>
      <c r="AE27" t="s">
        <v>18</v>
      </c>
      <c r="AF27" t="s">
        <v>18</v>
      </c>
      <c r="AG27" t="s">
        <v>18</v>
      </c>
      <c r="AH27" t="s">
        <v>18</v>
      </c>
      <c r="AI27" t="s">
        <v>18</v>
      </c>
      <c r="AJ27" t="s">
        <v>488</v>
      </c>
    </row>
    <row r="28" spans="1:36" ht="18.75" x14ac:dyDescent="0.25">
      <c r="A28" s="11">
        <f t="shared" si="1"/>
        <v>0.97058823529411764</v>
      </c>
      <c r="B28" s="13" t="str">
        <f t="array" aca="1" ref="B28" ca="1">OFFSET(C28,,MATCH(TRUE,C28:AJ28&lt;&gt;"",0)-1)</f>
        <v>Relief valve to relieve excessively high pressure</v>
      </c>
      <c r="C28" s="8" t="s">
        <v>19</v>
      </c>
      <c r="D28" t="s">
        <v>19</v>
      </c>
      <c r="E28" t="s">
        <v>19</v>
      </c>
      <c r="F28" t="s">
        <v>173</v>
      </c>
      <c r="G28" t="s">
        <v>297</v>
      </c>
      <c r="H28" t="s">
        <v>408</v>
      </c>
      <c r="I28" t="s">
        <v>489</v>
      </c>
      <c r="J28" t="s">
        <v>173</v>
      </c>
      <c r="K28" t="s">
        <v>173</v>
      </c>
      <c r="L28" t="s">
        <v>19</v>
      </c>
      <c r="M28" t="s">
        <v>19</v>
      </c>
      <c r="N28" t="s">
        <v>408</v>
      </c>
      <c r="O28" t="s">
        <v>19</v>
      </c>
      <c r="P28" t="s">
        <v>19</v>
      </c>
      <c r="Q28" t="s">
        <v>19</v>
      </c>
      <c r="R28" t="s">
        <v>19</v>
      </c>
      <c r="S28" t="s">
        <v>489</v>
      </c>
      <c r="T28" t="s">
        <v>19</v>
      </c>
      <c r="U28" t="s">
        <v>19</v>
      </c>
      <c r="V28" t="s">
        <v>19</v>
      </c>
      <c r="W28" t="s">
        <v>19</v>
      </c>
      <c r="X28" t="s">
        <v>19</v>
      </c>
      <c r="Y28" t="s">
        <v>19</v>
      </c>
      <c r="Z28" t="s">
        <v>19</v>
      </c>
      <c r="AA28" t="s">
        <v>19</v>
      </c>
      <c r="AB28" t="s">
        <v>19</v>
      </c>
      <c r="AD28" t="s">
        <v>19</v>
      </c>
      <c r="AE28" t="s">
        <v>19</v>
      </c>
      <c r="AF28" t="s">
        <v>19</v>
      </c>
      <c r="AG28" t="s">
        <v>19</v>
      </c>
      <c r="AH28" t="s">
        <v>19</v>
      </c>
      <c r="AI28" t="s">
        <v>19</v>
      </c>
      <c r="AJ28" t="s">
        <v>489</v>
      </c>
    </row>
    <row r="29" spans="1:36" ht="18.75" x14ac:dyDescent="0.25">
      <c r="A29" s="11">
        <f t="shared" si="1"/>
        <v>0.20588235294117652</v>
      </c>
      <c r="B29" s="13" t="str">
        <f t="array" aca="1" ref="B29" ca="1">OFFSET(C29,,MATCH(TRUE,C29:AJ29&lt;&gt;"",0)-1)</f>
        <v>Protective grating</v>
      </c>
      <c r="C29" s="8"/>
      <c r="D29" t="s">
        <v>128</v>
      </c>
      <c r="I29" t="s">
        <v>490</v>
      </c>
      <c r="K29" t="s">
        <v>553</v>
      </c>
      <c r="O29" t="s">
        <v>128</v>
      </c>
      <c r="S29" t="s">
        <v>490</v>
      </c>
      <c r="AF29" t="s">
        <v>128</v>
      </c>
      <c r="AJ29" t="s">
        <v>490</v>
      </c>
    </row>
    <row r="30" spans="1:36" ht="18.75" x14ac:dyDescent="0.25">
      <c r="A30" s="11">
        <f t="shared" si="1"/>
        <v>0.17647058823529416</v>
      </c>
      <c r="B30" s="13" t="str">
        <f t="array" aca="1" ref="B30" ca="1">OFFSET(C30,,MATCH(TRUE,C30:AJ30&lt;&gt;"",0)-1)</f>
        <v>Insulation</v>
      </c>
      <c r="C30" s="8"/>
      <c r="D30" t="s">
        <v>129</v>
      </c>
      <c r="K30" t="s">
        <v>554</v>
      </c>
      <c r="O30" t="s">
        <v>129</v>
      </c>
      <c r="S30" t="s">
        <v>554</v>
      </c>
      <c r="AF30" t="s">
        <v>129</v>
      </c>
      <c r="AJ30" t="s">
        <v>554</v>
      </c>
    </row>
    <row r="31" spans="1:36" ht="18.75" x14ac:dyDescent="0.25">
      <c r="A31" s="11">
        <f t="shared" si="1"/>
        <v>1</v>
      </c>
      <c r="B31" s="13" t="str">
        <f t="array" aca="1" ref="B31" ca="1">OFFSET(C31,,MATCH(TRUE,C31:AJ31&lt;&gt;"",0)-1)</f>
        <v>Installation location of safety equipment</v>
      </c>
      <c r="C31" s="8" t="s">
        <v>20</v>
      </c>
      <c r="D31" t="s">
        <v>20</v>
      </c>
      <c r="E31" t="s">
        <v>20</v>
      </c>
      <c r="F31" t="s">
        <v>174</v>
      </c>
      <c r="G31" t="s">
        <v>298</v>
      </c>
      <c r="H31" t="s">
        <v>298</v>
      </c>
      <c r="I31" t="s">
        <v>491</v>
      </c>
      <c r="J31" t="s">
        <v>174</v>
      </c>
      <c r="K31" t="s">
        <v>174</v>
      </c>
      <c r="L31" t="s">
        <v>20</v>
      </c>
      <c r="M31" t="s">
        <v>20</v>
      </c>
      <c r="N31" t="s">
        <v>298</v>
      </c>
      <c r="O31" t="s">
        <v>20</v>
      </c>
      <c r="P31" t="s">
        <v>20</v>
      </c>
      <c r="Q31" t="s">
        <v>20</v>
      </c>
      <c r="R31" t="s">
        <v>20</v>
      </c>
      <c r="S31" t="s">
        <v>491</v>
      </c>
      <c r="T31" t="s">
        <v>20</v>
      </c>
      <c r="U31" t="s">
        <v>20</v>
      </c>
      <c r="V31" t="s">
        <v>20</v>
      </c>
      <c r="W31" t="s">
        <v>20</v>
      </c>
      <c r="X31" t="s">
        <v>20</v>
      </c>
      <c r="Y31" t="s">
        <v>20</v>
      </c>
      <c r="Z31" t="s">
        <v>20</v>
      </c>
      <c r="AA31" t="s">
        <v>20</v>
      </c>
      <c r="AB31" t="s">
        <v>20</v>
      </c>
      <c r="AC31" t="s">
        <v>20</v>
      </c>
      <c r="AD31" t="s">
        <v>20</v>
      </c>
      <c r="AE31" t="s">
        <v>20</v>
      </c>
      <c r="AF31" t="s">
        <v>20</v>
      </c>
      <c r="AG31" t="s">
        <v>20</v>
      </c>
      <c r="AH31" t="s">
        <v>20</v>
      </c>
      <c r="AI31" t="s">
        <v>20</v>
      </c>
      <c r="AJ31" t="s">
        <v>491</v>
      </c>
    </row>
    <row r="32" spans="1:36" ht="18.75" x14ac:dyDescent="0.25">
      <c r="A32" s="11">
        <f t="shared" si="1"/>
        <v>1</v>
      </c>
      <c r="B32" s="13" t="str">
        <f t="array" aca="1" ref="B32" ca="1">OFFSET(C32,,MATCH(TRUE,C32:AJ32&lt;&gt;"",0)-1)</f>
        <v>Equipment for disconnecting and securing</v>
      </c>
      <c r="C32" s="8" t="s">
        <v>21</v>
      </c>
      <c r="D32" t="s">
        <v>21</v>
      </c>
      <c r="E32" t="s">
        <v>21</v>
      </c>
      <c r="F32" t="s">
        <v>175</v>
      </c>
      <c r="G32" t="s">
        <v>299</v>
      </c>
      <c r="H32" t="s">
        <v>409</v>
      </c>
      <c r="I32" t="s">
        <v>492</v>
      </c>
      <c r="J32" t="s">
        <v>547</v>
      </c>
      <c r="K32" t="s">
        <v>547</v>
      </c>
      <c r="L32" t="s">
        <v>21</v>
      </c>
      <c r="M32" t="s">
        <v>21</v>
      </c>
      <c r="N32" t="s">
        <v>409</v>
      </c>
      <c r="O32" t="s">
        <v>21</v>
      </c>
      <c r="P32" t="s">
        <v>21</v>
      </c>
      <c r="Q32" t="s">
        <v>21</v>
      </c>
      <c r="R32" t="s">
        <v>1393</v>
      </c>
      <c r="S32" t="s">
        <v>492</v>
      </c>
      <c r="T32" t="s">
        <v>21</v>
      </c>
      <c r="U32" t="s">
        <v>21</v>
      </c>
      <c r="V32" t="s">
        <v>21</v>
      </c>
      <c r="W32" t="s">
        <v>21</v>
      </c>
      <c r="X32" t="s">
        <v>21</v>
      </c>
      <c r="Y32" t="s">
        <v>21</v>
      </c>
      <c r="Z32" t="s">
        <v>21</v>
      </c>
      <c r="AA32" t="s">
        <v>1393</v>
      </c>
      <c r="AB32" t="s">
        <v>21</v>
      </c>
      <c r="AC32" t="s">
        <v>21</v>
      </c>
      <c r="AD32" t="s">
        <v>21</v>
      </c>
      <c r="AE32" t="s">
        <v>1393</v>
      </c>
      <c r="AF32" t="s">
        <v>21</v>
      </c>
      <c r="AG32" t="s">
        <v>1393</v>
      </c>
      <c r="AH32" t="s">
        <v>1393</v>
      </c>
      <c r="AI32" t="s">
        <v>1393</v>
      </c>
      <c r="AJ32" t="s">
        <v>492</v>
      </c>
    </row>
    <row r="33" spans="1:36" ht="18.75" x14ac:dyDescent="0.25">
      <c r="A33" s="11">
        <f t="shared" si="1"/>
        <v>1</v>
      </c>
      <c r="B33" s="13" t="str">
        <f t="array" aca="1" ref="B33" ca="1">OFFSET(C33,,MATCH(TRUE,C33:AJ33&lt;&gt;"",0)-1)</f>
        <v>Conduct in hazardous situations and in the event of an accident</v>
      </c>
      <c r="C33" s="8" t="s">
        <v>22</v>
      </c>
      <c r="D33" t="s">
        <v>22</v>
      </c>
      <c r="E33" t="s">
        <v>22</v>
      </c>
      <c r="F33" t="s">
        <v>176</v>
      </c>
      <c r="G33" t="s">
        <v>300</v>
      </c>
      <c r="H33" t="s">
        <v>410</v>
      </c>
      <c r="I33" t="s">
        <v>493</v>
      </c>
      <c r="J33" t="s">
        <v>176</v>
      </c>
      <c r="K33" t="s">
        <v>555</v>
      </c>
      <c r="L33" t="s">
        <v>22</v>
      </c>
      <c r="M33" t="s">
        <v>22</v>
      </c>
      <c r="N33" t="s">
        <v>410</v>
      </c>
      <c r="O33" t="s">
        <v>22</v>
      </c>
      <c r="P33" t="s">
        <v>22</v>
      </c>
      <c r="Q33" t="s">
        <v>22</v>
      </c>
      <c r="R33" t="s">
        <v>22</v>
      </c>
      <c r="S33" t="s">
        <v>493</v>
      </c>
      <c r="T33" t="s">
        <v>22</v>
      </c>
      <c r="U33" t="s">
        <v>22</v>
      </c>
      <c r="V33" t="s">
        <v>22</v>
      </c>
      <c r="W33" t="s">
        <v>22</v>
      </c>
      <c r="X33" t="s">
        <v>22</v>
      </c>
      <c r="Y33" t="s">
        <v>22</v>
      </c>
      <c r="Z33" t="s">
        <v>22</v>
      </c>
      <c r="AA33" t="s">
        <v>22</v>
      </c>
      <c r="AB33" t="s">
        <v>22</v>
      </c>
      <c r="AC33" t="s">
        <v>22</v>
      </c>
      <c r="AD33" t="s">
        <v>22</v>
      </c>
      <c r="AE33" t="s">
        <v>22</v>
      </c>
      <c r="AF33" t="s">
        <v>22</v>
      </c>
      <c r="AG33" t="s">
        <v>22</v>
      </c>
      <c r="AH33" t="s">
        <v>22</v>
      </c>
      <c r="AI33" t="s">
        <v>22</v>
      </c>
      <c r="AJ33" t="s">
        <v>493</v>
      </c>
    </row>
    <row r="34" spans="1:36" ht="18.75" x14ac:dyDescent="0.25">
      <c r="A34" s="11">
        <f t="shared" si="1"/>
        <v>1</v>
      </c>
      <c r="B34" s="13" t="str">
        <f t="array" aca="1" ref="B34" ca="1">OFFSET(C34,,MATCH(TRUE,C34:AJ34&lt;&gt;"",0)-1)</f>
        <v>Operating statuses</v>
      </c>
      <c r="C34" s="8" t="s">
        <v>23</v>
      </c>
      <c r="D34" t="s">
        <v>23</v>
      </c>
      <c r="E34" t="s">
        <v>23</v>
      </c>
      <c r="F34" t="s">
        <v>177</v>
      </c>
      <c r="G34" t="s">
        <v>301</v>
      </c>
      <c r="H34" t="s">
        <v>301</v>
      </c>
      <c r="I34" t="s">
        <v>177</v>
      </c>
      <c r="J34" t="s">
        <v>177</v>
      </c>
      <c r="K34" t="s">
        <v>177</v>
      </c>
      <c r="L34" t="s">
        <v>23</v>
      </c>
      <c r="M34" t="s">
        <v>23</v>
      </c>
      <c r="N34" t="s">
        <v>301</v>
      </c>
      <c r="O34" t="s">
        <v>23</v>
      </c>
      <c r="P34" t="s">
        <v>23</v>
      </c>
      <c r="Q34" t="s">
        <v>23</v>
      </c>
      <c r="R34" t="s">
        <v>23</v>
      </c>
      <c r="S34" t="s">
        <v>1417</v>
      </c>
      <c r="T34" t="s">
        <v>23</v>
      </c>
      <c r="U34" t="s">
        <v>23</v>
      </c>
      <c r="V34" t="s">
        <v>23</v>
      </c>
      <c r="W34" t="s">
        <v>23</v>
      </c>
      <c r="X34" t="s">
        <v>23</v>
      </c>
      <c r="Y34" t="s">
        <v>23</v>
      </c>
      <c r="Z34" t="s">
        <v>23</v>
      </c>
      <c r="AA34" t="s">
        <v>23</v>
      </c>
      <c r="AB34" t="s">
        <v>23</v>
      </c>
      <c r="AC34" t="s">
        <v>23</v>
      </c>
      <c r="AD34" t="s">
        <v>23</v>
      </c>
      <c r="AE34" t="s">
        <v>23</v>
      </c>
      <c r="AF34" t="s">
        <v>23</v>
      </c>
      <c r="AG34" t="s">
        <v>23</v>
      </c>
      <c r="AH34" t="s">
        <v>23</v>
      </c>
      <c r="AI34" t="s">
        <v>23</v>
      </c>
      <c r="AJ34" t="s">
        <v>1417</v>
      </c>
    </row>
    <row r="35" spans="1:36" ht="18.75" x14ac:dyDescent="0.25">
      <c r="A35" s="11">
        <f t="shared" si="1"/>
        <v>1</v>
      </c>
      <c r="B35" s="13" t="str">
        <f t="array" aca="1" ref="B35" ca="1">OFFSET(C35,,MATCH(TRUE,C35:AJ35&lt;&gt;"",0)-1)</f>
        <v>Deenergized machine</v>
      </c>
      <c r="C35" s="8" t="s">
        <v>24</v>
      </c>
      <c r="D35" t="s">
        <v>24</v>
      </c>
      <c r="E35" t="s">
        <v>24</v>
      </c>
      <c r="F35" t="s">
        <v>178</v>
      </c>
      <c r="G35" t="s">
        <v>302</v>
      </c>
      <c r="H35" t="s">
        <v>411</v>
      </c>
      <c r="I35" t="s">
        <v>494</v>
      </c>
      <c r="J35" t="s">
        <v>178</v>
      </c>
      <c r="K35" t="s">
        <v>556</v>
      </c>
      <c r="L35" t="s">
        <v>24</v>
      </c>
      <c r="M35" t="s">
        <v>24</v>
      </c>
      <c r="N35" t="s">
        <v>411</v>
      </c>
      <c r="O35" t="s">
        <v>24</v>
      </c>
      <c r="P35" t="s">
        <v>24</v>
      </c>
      <c r="Q35" t="s">
        <v>24</v>
      </c>
      <c r="R35" t="s">
        <v>1394</v>
      </c>
      <c r="S35" t="s">
        <v>178</v>
      </c>
      <c r="T35" t="s">
        <v>24</v>
      </c>
      <c r="U35" t="s">
        <v>24</v>
      </c>
      <c r="V35" t="s">
        <v>24</v>
      </c>
      <c r="W35" t="s">
        <v>24</v>
      </c>
      <c r="X35" t="s">
        <v>24</v>
      </c>
      <c r="Y35" t="s">
        <v>24</v>
      </c>
      <c r="Z35" t="s">
        <v>24</v>
      </c>
      <c r="AA35" t="s">
        <v>24</v>
      </c>
      <c r="AB35" t="s">
        <v>24</v>
      </c>
      <c r="AC35" t="s">
        <v>24</v>
      </c>
      <c r="AD35" t="s">
        <v>24</v>
      </c>
      <c r="AE35" t="s">
        <v>24</v>
      </c>
      <c r="AF35" t="s">
        <v>24</v>
      </c>
      <c r="AG35" t="s">
        <v>24</v>
      </c>
      <c r="AH35" t="s">
        <v>24</v>
      </c>
      <c r="AI35" t="s">
        <v>24</v>
      </c>
      <c r="AJ35" t="s">
        <v>178</v>
      </c>
    </row>
    <row r="36" spans="1:36" ht="18.75" x14ac:dyDescent="0.25">
      <c r="A36" s="11">
        <f t="shared" si="1"/>
        <v>1</v>
      </c>
      <c r="B36" s="13" t="str">
        <f t="array" aca="1" ref="B36" ca="1">OFFSET(C36,,MATCH(TRUE,C36:AJ36&lt;&gt;"",0)-1)</f>
        <v>Operating status OFF</v>
      </c>
      <c r="C36" s="8" t="s">
        <v>25</v>
      </c>
      <c r="D36" t="s">
        <v>25</v>
      </c>
      <c r="E36" t="s">
        <v>25</v>
      </c>
      <c r="F36" t="s">
        <v>179</v>
      </c>
      <c r="G36" t="s">
        <v>303</v>
      </c>
      <c r="H36" t="s">
        <v>412</v>
      </c>
      <c r="I36" t="s">
        <v>495</v>
      </c>
      <c r="J36" t="s">
        <v>179</v>
      </c>
      <c r="K36" t="s">
        <v>557</v>
      </c>
      <c r="L36" t="s">
        <v>25</v>
      </c>
      <c r="M36" t="s">
        <v>25</v>
      </c>
      <c r="N36" t="s">
        <v>412</v>
      </c>
      <c r="O36" t="s">
        <v>25</v>
      </c>
      <c r="P36" t="s">
        <v>25</v>
      </c>
      <c r="Q36" t="s">
        <v>25</v>
      </c>
      <c r="R36" t="s">
        <v>25</v>
      </c>
      <c r="S36" t="s">
        <v>495</v>
      </c>
      <c r="T36" t="s">
        <v>25</v>
      </c>
      <c r="U36" t="s">
        <v>25</v>
      </c>
      <c r="V36" t="s">
        <v>25</v>
      </c>
      <c r="W36" t="s">
        <v>25</v>
      </c>
      <c r="X36" t="s">
        <v>25</v>
      </c>
      <c r="Y36" t="s">
        <v>25</v>
      </c>
      <c r="Z36" t="s">
        <v>25</v>
      </c>
      <c r="AA36" t="s">
        <v>25</v>
      </c>
      <c r="AB36" t="s">
        <v>25</v>
      </c>
      <c r="AC36" t="s">
        <v>25</v>
      </c>
      <c r="AD36" t="s">
        <v>25</v>
      </c>
      <c r="AE36" t="s">
        <v>25</v>
      </c>
      <c r="AF36" t="s">
        <v>25</v>
      </c>
      <c r="AG36" t="s">
        <v>25</v>
      </c>
      <c r="AH36" t="s">
        <v>25</v>
      </c>
      <c r="AI36" t="s">
        <v>25</v>
      </c>
      <c r="AJ36" t="s">
        <v>495</v>
      </c>
    </row>
    <row r="37" spans="1:36" ht="18.75" x14ac:dyDescent="0.25">
      <c r="A37" s="11">
        <f t="shared" si="1"/>
        <v>1</v>
      </c>
      <c r="B37" s="13" t="str">
        <f t="array" aca="1" ref="B37" ca="1">OFFSET(C37,,MATCH(TRUE,C37:AJ37&lt;&gt;"",0)-1)</f>
        <v>Operating status ON</v>
      </c>
      <c r="C37" s="8" t="s">
        <v>26</v>
      </c>
      <c r="D37" t="s">
        <v>26</v>
      </c>
      <c r="E37" t="s">
        <v>26</v>
      </c>
      <c r="F37" t="s">
        <v>180</v>
      </c>
      <c r="G37" t="s">
        <v>304</v>
      </c>
      <c r="H37" t="s">
        <v>413</v>
      </c>
      <c r="I37" t="s">
        <v>180</v>
      </c>
      <c r="J37" t="s">
        <v>180</v>
      </c>
      <c r="K37" t="s">
        <v>558</v>
      </c>
      <c r="L37" t="s">
        <v>26</v>
      </c>
      <c r="M37" t="s">
        <v>26</v>
      </c>
      <c r="N37" t="s">
        <v>413</v>
      </c>
      <c r="O37" t="s">
        <v>26</v>
      </c>
      <c r="P37" t="s">
        <v>26</v>
      </c>
      <c r="Q37" t="s">
        <v>26</v>
      </c>
      <c r="R37" t="s">
        <v>26</v>
      </c>
      <c r="S37" t="s">
        <v>180</v>
      </c>
      <c r="T37" t="s">
        <v>26</v>
      </c>
      <c r="U37" t="s">
        <v>26</v>
      </c>
      <c r="V37" t="s">
        <v>26</v>
      </c>
      <c r="W37" t="s">
        <v>26</v>
      </c>
      <c r="X37" t="s">
        <v>26</v>
      </c>
      <c r="Y37" t="s">
        <v>26</v>
      </c>
      <c r="Z37" t="s">
        <v>26</v>
      </c>
      <c r="AA37" t="s">
        <v>26</v>
      </c>
      <c r="AB37" t="s">
        <v>26</v>
      </c>
      <c r="AC37" t="s">
        <v>26</v>
      </c>
      <c r="AD37" t="s">
        <v>26</v>
      </c>
      <c r="AE37" t="s">
        <v>26</v>
      </c>
      <c r="AF37" t="s">
        <v>26</v>
      </c>
      <c r="AG37" t="s">
        <v>26</v>
      </c>
      <c r="AH37" t="s">
        <v>26</v>
      </c>
      <c r="AI37" t="s">
        <v>26</v>
      </c>
      <c r="AJ37" t="s">
        <v>180</v>
      </c>
    </row>
    <row r="38" spans="1:36" ht="18.75" x14ac:dyDescent="0.25">
      <c r="A38" s="11">
        <f t="shared" si="1"/>
        <v>0.1470588235294118</v>
      </c>
      <c r="B38" s="13" t="str">
        <f t="array" aca="1" ref="B38" ca="1">OFFSET(C38,,MATCH(TRUE,C38:AJ38&lt;&gt;"",0)-1)</f>
        <v>Pressure tanks</v>
      </c>
      <c r="C38" s="8" t="s">
        <v>27</v>
      </c>
      <c r="I38" t="s">
        <v>496</v>
      </c>
      <c r="K38" t="s">
        <v>559</v>
      </c>
      <c r="Z38" t="s">
        <v>27</v>
      </c>
      <c r="AC38" t="s">
        <v>27</v>
      </c>
    </row>
    <row r="39" spans="1:36" ht="18.75" x14ac:dyDescent="0.25">
      <c r="A39" s="11">
        <f t="shared" si="1"/>
        <v>1</v>
      </c>
      <c r="B39" s="13" t="str">
        <f t="array" aca="1" ref="B39" ca="1">OFFSET(C39,,MATCH(TRUE,C39:AJ39&lt;&gt;"",0)-1)</f>
        <v>Residual risks</v>
      </c>
      <c r="C39" s="8" t="s">
        <v>28</v>
      </c>
      <c r="D39" t="s">
        <v>28</v>
      </c>
      <c r="E39" t="s">
        <v>28</v>
      </c>
      <c r="F39" t="s">
        <v>181</v>
      </c>
      <c r="G39" t="s">
        <v>305</v>
      </c>
      <c r="H39" t="s">
        <v>305</v>
      </c>
      <c r="I39" t="s">
        <v>497</v>
      </c>
      <c r="J39" t="s">
        <v>181</v>
      </c>
      <c r="K39" t="s">
        <v>181</v>
      </c>
      <c r="L39" t="s">
        <v>28</v>
      </c>
      <c r="M39" t="s">
        <v>28</v>
      </c>
      <c r="N39" t="s">
        <v>305</v>
      </c>
      <c r="O39" t="s">
        <v>28</v>
      </c>
      <c r="P39" t="s">
        <v>28</v>
      </c>
      <c r="Q39" t="s">
        <v>28</v>
      </c>
      <c r="R39" t="s">
        <v>28</v>
      </c>
      <c r="S39" t="s">
        <v>497</v>
      </c>
      <c r="T39" t="s">
        <v>28</v>
      </c>
      <c r="U39" t="s">
        <v>28</v>
      </c>
      <c r="V39" t="s">
        <v>28</v>
      </c>
      <c r="W39" t="s">
        <v>28</v>
      </c>
      <c r="X39" t="s">
        <v>28</v>
      </c>
      <c r="Y39" t="s">
        <v>28</v>
      </c>
      <c r="Z39" t="s">
        <v>28</v>
      </c>
      <c r="AA39" t="s">
        <v>28</v>
      </c>
      <c r="AB39" t="s">
        <v>28</v>
      </c>
      <c r="AC39" t="s">
        <v>28</v>
      </c>
      <c r="AD39" t="s">
        <v>28</v>
      </c>
      <c r="AE39" t="s">
        <v>28</v>
      </c>
      <c r="AF39" t="s">
        <v>28</v>
      </c>
      <c r="AG39" t="s">
        <v>28</v>
      </c>
      <c r="AH39" t="s">
        <v>28</v>
      </c>
      <c r="AI39" t="s">
        <v>28</v>
      </c>
      <c r="AJ39" t="s">
        <v>497</v>
      </c>
    </row>
    <row r="40" spans="1:36" ht="18.75" x14ac:dyDescent="0.25">
      <c r="A40" s="11">
        <f t="shared" si="1"/>
        <v>1</v>
      </c>
      <c r="B40" s="12" t="str">
        <f t="array" aca="1" ref="B40" ca="1">OFFSET(C40,,MATCH(TRUE,C40:AJ40&lt;&gt;"",0)-1)</f>
        <v>Layout and function</v>
      </c>
      <c r="C40" s="9" t="s">
        <v>29</v>
      </c>
      <c r="D40" s="5" t="s">
        <v>29</v>
      </c>
      <c r="E40" s="5" t="s">
        <v>29</v>
      </c>
      <c r="F40" s="5" t="s">
        <v>182</v>
      </c>
      <c r="G40" s="5" t="s">
        <v>306</v>
      </c>
      <c r="H40" s="5" t="s">
        <v>414</v>
      </c>
      <c r="I40" s="5" t="s">
        <v>182</v>
      </c>
      <c r="J40" s="5" t="s">
        <v>182</v>
      </c>
      <c r="K40" s="5" t="s">
        <v>182</v>
      </c>
      <c r="L40" s="5" t="s">
        <v>29</v>
      </c>
      <c r="M40" s="5" t="s">
        <v>29</v>
      </c>
      <c r="N40" s="5" t="s">
        <v>414</v>
      </c>
      <c r="O40" s="5" t="s">
        <v>29</v>
      </c>
      <c r="P40" s="5" t="s">
        <v>29</v>
      </c>
      <c r="Q40" s="5" t="s">
        <v>29</v>
      </c>
      <c r="R40" s="5" t="s">
        <v>29</v>
      </c>
      <c r="S40" s="5" t="s">
        <v>182</v>
      </c>
      <c r="T40" s="5" t="s">
        <v>29</v>
      </c>
      <c r="U40" s="5" t="s">
        <v>29</v>
      </c>
      <c r="V40" s="5" t="s">
        <v>29</v>
      </c>
      <c r="W40" s="5" t="s">
        <v>29</v>
      </c>
      <c r="X40" s="5" t="s">
        <v>29</v>
      </c>
      <c r="Y40" s="5" t="s">
        <v>29</v>
      </c>
      <c r="Z40" s="5" t="s">
        <v>29</v>
      </c>
      <c r="AA40" s="5" t="s">
        <v>29</v>
      </c>
      <c r="AB40" s="5" t="s">
        <v>29</v>
      </c>
      <c r="AC40" s="5" t="s">
        <v>29</v>
      </c>
      <c r="AD40" s="5" t="s">
        <v>29</v>
      </c>
      <c r="AE40" s="5" t="s">
        <v>29</v>
      </c>
      <c r="AF40" s="5" t="s">
        <v>29</v>
      </c>
      <c r="AG40" s="5" t="s">
        <v>29</v>
      </c>
      <c r="AH40" s="5" t="s">
        <v>29</v>
      </c>
      <c r="AI40" s="5" t="s">
        <v>29</v>
      </c>
      <c r="AJ40" s="5" t="s">
        <v>182</v>
      </c>
    </row>
    <row r="41" spans="1:36" ht="18.75" x14ac:dyDescent="0.25">
      <c r="A41" s="11">
        <f t="shared" si="1"/>
        <v>1</v>
      </c>
      <c r="B41" s="13" t="str">
        <f t="array" aca="1" ref="B41" ca="1">OFFSET(C41,,MATCH(TRUE,C41:AJ41&lt;&gt;"",0)-1)</f>
        <v>Cleaning system</v>
      </c>
      <c r="C41" s="8" t="s">
        <v>30</v>
      </c>
      <c r="D41" t="s">
        <v>30</v>
      </c>
      <c r="E41" t="s">
        <v>30</v>
      </c>
      <c r="F41" t="s">
        <v>183</v>
      </c>
      <c r="G41" t="s">
        <v>307</v>
      </c>
      <c r="H41" t="s">
        <v>307</v>
      </c>
      <c r="I41" t="s">
        <v>183</v>
      </c>
      <c r="J41" t="s">
        <v>183</v>
      </c>
      <c r="K41" t="s">
        <v>183</v>
      </c>
      <c r="L41" t="s">
        <v>30</v>
      </c>
      <c r="M41" t="s">
        <v>30</v>
      </c>
      <c r="N41" t="s">
        <v>307</v>
      </c>
      <c r="O41" t="s">
        <v>30</v>
      </c>
      <c r="P41" t="s">
        <v>30</v>
      </c>
      <c r="Q41" t="s">
        <v>30</v>
      </c>
      <c r="R41" t="s">
        <v>30</v>
      </c>
      <c r="S41" t="s">
        <v>183</v>
      </c>
      <c r="T41" t="s">
        <v>30</v>
      </c>
      <c r="U41" t="s">
        <v>30</v>
      </c>
      <c r="V41" t="s">
        <v>30</v>
      </c>
      <c r="W41" t="s">
        <v>30</v>
      </c>
      <c r="X41" t="s">
        <v>30</v>
      </c>
      <c r="Y41" t="s">
        <v>30</v>
      </c>
      <c r="Z41" t="s">
        <v>30</v>
      </c>
      <c r="AA41" t="s">
        <v>30</v>
      </c>
      <c r="AB41" t="s">
        <v>30</v>
      </c>
      <c r="AC41" t="s">
        <v>30</v>
      </c>
      <c r="AD41" t="s">
        <v>30</v>
      </c>
      <c r="AE41" t="s">
        <v>30</v>
      </c>
      <c r="AF41" t="s">
        <v>30</v>
      </c>
      <c r="AG41" t="s">
        <v>30</v>
      </c>
      <c r="AH41" t="s">
        <v>30</v>
      </c>
      <c r="AI41" t="s">
        <v>30</v>
      </c>
      <c r="AJ41" t="s">
        <v>183</v>
      </c>
    </row>
    <row r="42" spans="1:36" ht="18.75" x14ac:dyDescent="0.25">
      <c r="A42" s="11">
        <f t="shared" si="1"/>
        <v>1</v>
      </c>
      <c r="B42" s="13" t="str">
        <f t="array" aca="1" ref="B42" ca="1">OFFSET(C42,,MATCH(TRUE,C42:AJ42&lt;&gt;"",0)-1)</f>
        <v>Tanks (area CR71, CR72, CR75)</v>
      </c>
      <c r="C42" s="8" t="s">
        <v>31</v>
      </c>
      <c r="D42" t="s">
        <v>130</v>
      </c>
      <c r="E42" t="s">
        <v>130</v>
      </c>
      <c r="F42" t="s">
        <v>184</v>
      </c>
      <c r="G42" t="s">
        <v>308</v>
      </c>
      <c r="H42" t="s">
        <v>415</v>
      </c>
      <c r="I42" t="s">
        <v>308</v>
      </c>
      <c r="J42" t="s">
        <v>184</v>
      </c>
      <c r="K42" t="s">
        <v>184</v>
      </c>
      <c r="L42" t="s">
        <v>130</v>
      </c>
      <c r="M42" t="s">
        <v>1373</v>
      </c>
      <c r="N42" t="s">
        <v>415</v>
      </c>
      <c r="O42" t="s">
        <v>130</v>
      </c>
      <c r="P42" t="s">
        <v>1382</v>
      </c>
      <c r="Q42" t="s">
        <v>1373</v>
      </c>
      <c r="R42" t="s">
        <v>1395</v>
      </c>
      <c r="S42" t="s">
        <v>1418</v>
      </c>
      <c r="T42" t="s">
        <v>1373</v>
      </c>
      <c r="U42" t="s">
        <v>130</v>
      </c>
      <c r="V42" t="s">
        <v>1373</v>
      </c>
      <c r="W42" t="s">
        <v>1443</v>
      </c>
      <c r="X42" t="s">
        <v>1373</v>
      </c>
      <c r="Y42" t="s">
        <v>1443</v>
      </c>
      <c r="Z42" t="s">
        <v>31</v>
      </c>
      <c r="AA42" t="s">
        <v>1373</v>
      </c>
      <c r="AB42" t="s">
        <v>1443</v>
      </c>
      <c r="AC42" t="s">
        <v>31</v>
      </c>
      <c r="AD42" t="s">
        <v>1373</v>
      </c>
      <c r="AE42" t="s">
        <v>1373</v>
      </c>
      <c r="AF42" t="s">
        <v>1448</v>
      </c>
      <c r="AG42" t="s">
        <v>1461</v>
      </c>
      <c r="AH42" t="s">
        <v>1373</v>
      </c>
      <c r="AI42" t="s">
        <v>1461</v>
      </c>
      <c r="AJ42" t="s">
        <v>1418</v>
      </c>
    </row>
    <row r="43" spans="1:36" ht="18.75" x14ac:dyDescent="0.25">
      <c r="A43" s="11">
        <f t="shared" si="1"/>
        <v>1</v>
      </c>
      <c r="B43" s="13" t="str">
        <f t="array" aca="1" ref="B43" ca="1">OFFSET(C43,,MATCH(TRUE,C43:AJ43&lt;&gt;"",0)-1)</f>
        <v>Detergent concentrate dosing station</v>
      </c>
      <c r="C43" s="8" t="s">
        <v>32</v>
      </c>
      <c r="D43" t="s">
        <v>32</v>
      </c>
      <c r="E43" t="s">
        <v>32</v>
      </c>
      <c r="F43" t="s">
        <v>185</v>
      </c>
      <c r="G43" t="s">
        <v>309</v>
      </c>
      <c r="H43" t="s">
        <v>416</v>
      </c>
      <c r="I43" t="s">
        <v>185</v>
      </c>
      <c r="J43" t="s">
        <v>185</v>
      </c>
      <c r="K43" t="s">
        <v>185</v>
      </c>
      <c r="L43" t="s">
        <v>32</v>
      </c>
      <c r="M43" t="s">
        <v>32</v>
      </c>
      <c r="N43" t="s">
        <v>416</v>
      </c>
      <c r="O43" t="s">
        <v>32</v>
      </c>
      <c r="P43" t="s">
        <v>32</v>
      </c>
      <c r="Q43" t="s">
        <v>32</v>
      </c>
      <c r="R43" t="s">
        <v>1396</v>
      </c>
      <c r="S43" t="s">
        <v>185</v>
      </c>
      <c r="T43" t="s">
        <v>32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  <c r="AC43" t="s">
        <v>32</v>
      </c>
      <c r="AD43" t="s">
        <v>32</v>
      </c>
      <c r="AE43" t="s">
        <v>32</v>
      </c>
      <c r="AF43" t="s">
        <v>32</v>
      </c>
      <c r="AG43" t="s">
        <v>32</v>
      </c>
      <c r="AH43" t="s">
        <v>32</v>
      </c>
      <c r="AI43" t="s">
        <v>32</v>
      </c>
      <c r="AJ43" t="s">
        <v>185</v>
      </c>
    </row>
    <row r="44" spans="1:36" ht="18.75" x14ac:dyDescent="0.25">
      <c r="A44" s="11">
        <f t="shared" si="1"/>
        <v>0.20588235294117652</v>
      </c>
      <c r="B44" s="13" t="str">
        <f t="array" aca="1" ref="B44" ca="1">OFFSET(C44,,MATCH(TRUE,C44:AJ44&lt;&gt;"",0)-1)</f>
        <v>Area CR69 and CR70 supply</v>
      </c>
      <c r="C44" s="8"/>
      <c r="D44" t="s">
        <v>131</v>
      </c>
      <c r="P44" t="s">
        <v>1383</v>
      </c>
      <c r="S44" t="s">
        <v>1419</v>
      </c>
      <c r="V44" t="s">
        <v>1437</v>
      </c>
      <c r="X44" t="s">
        <v>1437</v>
      </c>
      <c r="AA44" t="s">
        <v>1437</v>
      </c>
      <c r="AJ44" t="s">
        <v>1419</v>
      </c>
    </row>
    <row r="45" spans="1:36" ht="18.75" x14ac:dyDescent="0.25">
      <c r="A45" s="11">
        <f t="shared" si="1"/>
        <v>8.8235294117647078E-2</v>
      </c>
      <c r="B45" s="13" t="str">
        <f t="array" aca="1" ref="B45" ca="1">OFFSET(C45,,MATCH(TRUE,C45:AJ45&lt;&gt;"",0)-1)</f>
        <v>Detergent and steam circuit (area CR70)</v>
      </c>
      <c r="C45" s="8" t="s">
        <v>33</v>
      </c>
      <c r="Z45" t="s">
        <v>33</v>
      </c>
      <c r="AC45" t="s">
        <v>33</v>
      </c>
    </row>
    <row r="46" spans="1:36" ht="18.75" x14ac:dyDescent="0.25">
      <c r="A46" s="11">
        <f t="shared" si="1"/>
        <v>8.8235294117647078E-2</v>
      </c>
      <c r="B46" s="13" t="str">
        <f t="array" aca="1" ref="B46" ca="1">OFFSET(C46,,MATCH(TRUE,C46:AJ46&lt;&gt;"",0)-1)</f>
        <v>Detergent and steam circuit (CR69 area)</v>
      </c>
      <c r="C46" s="8" t="s">
        <v>34</v>
      </c>
      <c r="Z46" t="s">
        <v>34</v>
      </c>
      <c r="AC46" t="s">
        <v>34</v>
      </c>
    </row>
    <row r="47" spans="1:36" ht="18.75" x14ac:dyDescent="0.25">
      <c r="A47" s="11">
        <f t="shared" si="1"/>
        <v>8.8235294117647078E-2</v>
      </c>
      <c r="B47" s="13" t="str">
        <f t="array" aca="1" ref="B47" ca="1">OFFSET(C47,,MATCH(TRUE,C47:AJ47&lt;&gt;"",0)-1)</f>
        <v>Heater for fresh water (area CR84)</v>
      </c>
      <c r="C47" s="8" t="s">
        <v>35</v>
      </c>
      <c r="Z47" t="s">
        <v>35</v>
      </c>
      <c r="AC47" t="s">
        <v>35</v>
      </c>
    </row>
    <row r="48" spans="1:36" ht="18.75" x14ac:dyDescent="0.25">
      <c r="A48" s="11">
        <f t="shared" si="1"/>
        <v>8.8235294117647078E-2</v>
      </c>
      <c r="B48" s="13" t="str">
        <f t="array" aca="1" ref="B48" ca="1">OFFSET(C48,,MATCH(TRUE,C48:AJ48&lt;&gt;"",0)-1)</f>
        <v>Heater for fresh water (area CR83)</v>
      </c>
      <c r="C48" s="8" t="s">
        <v>36</v>
      </c>
      <c r="Z48" t="s">
        <v>36</v>
      </c>
      <c r="AC48" t="s">
        <v>36</v>
      </c>
    </row>
    <row r="49" spans="1:36" ht="18.75" x14ac:dyDescent="0.25">
      <c r="A49" s="11">
        <f t="shared" si="1"/>
        <v>0.70588235294117641</v>
      </c>
      <c r="B49" s="13" t="str">
        <f t="array" aca="1" ref="B49" ca="1">OFFSET(C49,,MATCH(TRUE,C49:AJ49&lt;&gt;"",0)-1)</f>
        <v>Detergent circuit (area CR70)</v>
      </c>
      <c r="C49" s="8"/>
      <c r="E49" t="s">
        <v>140</v>
      </c>
      <c r="F49" t="s">
        <v>186</v>
      </c>
      <c r="G49" t="s">
        <v>310</v>
      </c>
      <c r="H49" t="s">
        <v>417</v>
      </c>
      <c r="I49" t="s">
        <v>498</v>
      </c>
      <c r="J49" t="s">
        <v>186</v>
      </c>
      <c r="K49" t="s">
        <v>560</v>
      </c>
      <c r="L49" t="s">
        <v>140</v>
      </c>
      <c r="M49" s="4" t="s">
        <v>140</v>
      </c>
      <c r="N49" s="4" t="s">
        <v>417</v>
      </c>
      <c r="O49" t="s">
        <v>140</v>
      </c>
      <c r="Q49" t="s">
        <v>140</v>
      </c>
      <c r="R49" t="s">
        <v>140</v>
      </c>
      <c r="T49" t="s">
        <v>140</v>
      </c>
      <c r="U49" t="s">
        <v>140</v>
      </c>
      <c r="W49" t="s">
        <v>140</v>
      </c>
      <c r="Y49" t="s">
        <v>140</v>
      </c>
      <c r="AB49" t="s">
        <v>140</v>
      </c>
      <c r="AD49" t="s">
        <v>140</v>
      </c>
      <c r="AE49" t="s">
        <v>140</v>
      </c>
      <c r="AF49" t="s">
        <v>140</v>
      </c>
      <c r="AG49" t="s">
        <v>140</v>
      </c>
      <c r="AH49" t="s">
        <v>140</v>
      </c>
      <c r="AI49" t="s">
        <v>140</v>
      </c>
    </row>
    <row r="50" spans="1:36" ht="18.75" x14ac:dyDescent="0.25">
      <c r="A50" s="11">
        <f t="shared" si="1"/>
        <v>0.11764705882352944</v>
      </c>
      <c r="B50" s="13" t="str">
        <f t="array" aca="1" ref="B50" ca="1">OFFSET(C50,,MATCH(TRUE,C50:AJ50&lt;&gt;"",0)-1)</f>
        <v>Hot water circuit (area CR70)</v>
      </c>
      <c r="T50" t="s">
        <v>1430</v>
      </c>
      <c r="U50" t="s">
        <v>1430</v>
      </c>
      <c r="AD50" t="s">
        <v>1430</v>
      </c>
      <c r="AH50" t="s">
        <v>1430</v>
      </c>
    </row>
    <row r="51" spans="1:36" ht="18.75" x14ac:dyDescent="0.25">
      <c r="A51" s="11">
        <f t="shared" si="1"/>
        <v>0.58823529411764708</v>
      </c>
      <c r="B51" s="13" t="str">
        <f t="array" aca="1" ref="B51" ca="1">OFFSET(C51,,MATCH(TRUE,C51:AJ51&lt;&gt;"",0)-1)</f>
        <v>Steam circuit (area CR70)</v>
      </c>
      <c r="C51" s="8"/>
      <c r="E51" t="s">
        <v>141</v>
      </c>
      <c r="F51" t="s">
        <v>187</v>
      </c>
      <c r="G51" t="s">
        <v>187</v>
      </c>
      <c r="H51" t="s">
        <v>418</v>
      </c>
      <c r="I51" t="s">
        <v>187</v>
      </c>
      <c r="J51" t="s">
        <v>187</v>
      </c>
      <c r="K51" t="s">
        <v>187</v>
      </c>
      <c r="L51" t="s">
        <v>141</v>
      </c>
      <c r="M51" t="s">
        <v>141</v>
      </c>
      <c r="N51" t="s">
        <v>418</v>
      </c>
      <c r="O51" t="s">
        <v>141</v>
      </c>
      <c r="Q51" t="s">
        <v>141</v>
      </c>
      <c r="R51" t="s">
        <v>141</v>
      </c>
      <c r="W51" t="s">
        <v>141</v>
      </c>
      <c r="Y51" t="s">
        <v>141</v>
      </c>
      <c r="AB51" t="s">
        <v>141</v>
      </c>
      <c r="AE51" t="s">
        <v>141</v>
      </c>
      <c r="AF51" t="s">
        <v>141</v>
      </c>
      <c r="AG51" t="s">
        <v>141</v>
      </c>
      <c r="AI51" t="s">
        <v>141</v>
      </c>
    </row>
    <row r="52" spans="1:36" ht="18.75" x14ac:dyDescent="0.25">
      <c r="A52" s="11">
        <f t="shared" si="1"/>
        <v>0.3529411764705882</v>
      </c>
      <c r="B52" s="13" t="str">
        <f t="array" aca="1" ref="B52" ca="1">OFFSET(C52,,MATCH(TRUE,C52:AJ52&lt;&gt;"",0)-1)</f>
        <v>Distributor (area CR70)</v>
      </c>
      <c r="C52" s="8"/>
      <c r="E52" t="s">
        <v>142</v>
      </c>
      <c r="G52" t="s">
        <v>311</v>
      </c>
      <c r="H52" t="s">
        <v>419</v>
      </c>
      <c r="I52" t="s">
        <v>311</v>
      </c>
      <c r="L52" t="s">
        <v>142</v>
      </c>
      <c r="M52" t="s">
        <v>142</v>
      </c>
      <c r="N52" t="s">
        <v>419</v>
      </c>
      <c r="P52" t="s">
        <v>142</v>
      </c>
      <c r="U52" t="s">
        <v>1432</v>
      </c>
      <c r="V52" t="s">
        <v>142</v>
      </c>
      <c r="X52" t="s">
        <v>142</v>
      </c>
      <c r="AH52" t="s">
        <v>142</v>
      </c>
    </row>
    <row r="53" spans="1:36" ht="18.75" x14ac:dyDescent="0.25">
      <c r="A53" s="11">
        <f t="shared" si="1"/>
        <v>8.8235294117647078E-2</v>
      </c>
      <c r="B53" s="13" t="str">
        <f t="array" aca="1" ref="B53" ca="1">OFFSET(C53,,MATCH(TRUE,C53:AJ53&lt;&gt;"",0)-1)</f>
        <v>Distributor in the primary feed to the PET filling machine (area CR70)</v>
      </c>
      <c r="U53" t="s">
        <v>1433</v>
      </c>
      <c r="V53" t="s">
        <v>1438</v>
      </c>
      <c r="X53" t="s">
        <v>1438</v>
      </c>
    </row>
    <row r="54" spans="1:36" ht="18.75" x14ac:dyDescent="0.25">
      <c r="A54" s="11">
        <f t="shared" si="1"/>
        <v>8.8235294117647078E-2</v>
      </c>
      <c r="B54" s="13" t="str">
        <f t="array" aca="1" ref="B54" ca="1">OFFSET(C54,,MATCH(TRUE,C54:AJ54&lt;&gt;"",0)-1)</f>
        <v>Suministro del rociado con agua caliente en la llenadora</v>
      </c>
      <c r="C54" s="8"/>
      <c r="H54" t="s">
        <v>420</v>
      </c>
      <c r="K54" t="s">
        <v>561</v>
      </c>
      <c r="N54" t="s">
        <v>420</v>
      </c>
    </row>
    <row r="55" spans="1:36" ht="18.75" x14ac:dyDescent="0.25">
      <c r="A55" s="11">
        <f t="shared" si="1"/>
        <v>1</v>
      </c>
      <c r="B55" s="13" t="str">
        <f t="array" aca="1" ref="B55" ca="1">OFFSET(C55,,MATCH(TRUE,C55:AJ55&lt;&gt;"",0)-1)</f>
        <v>Control air supply</v>
      </c>
      <c r="C55" s="8" t="s">
        <v>37</v>
      </c>
      <c r="D55" t="s">
        <v>37</v>
      </c>
      <c r="E55" t="s">
        <v>37</v>
      </c>
      <c r="F55" t="s">
        <v>188</v>
      </c>
      <c r="G55" t="s">
        <v>312</v>
      </c>
      <c r="H55" t="s">
        <v>421</v>
      </c>
      <c r="I55" t="s">
        <v>499</v>
      </c>
      <c r="J55" t="s">
        <v>188</v>
      </c>
      <c r="K55" t="s">
        <v>562</v>
      </c>
      <c r="L55" t="s">
        <v>37</v>
      </c>
      <c r="M55" t="s">
        <v>37</v>
      </c>
      <c r="N55" t="s">
        <v>421</v>
      </c>
      <c r="O55" t="s">
        <v>37</v>
      </c>
      <c r="P55" t="s">
        <v>37</v>
      </c>
      <c r="Q55" t="s">
        <v>37</v>
      </c>
      <c r="R55" t="s">
        <v>37</v>
      </c>
      <c r="S55" t="s">
        <v>499</v>
      </c>
      <c r="T55" t="s">
        <v>37</v>
      </c>
      <c r="U55" t="s">
        <v>37</v>
      </c>
      <c r="V55" t="s">
        <v>37</v>
      </c>
      <c r="W55" t="s">
        <v>37</v>
      </c>
      <c r="X55" t="s">
        <v>37</v>
      </c>
      <c r="Y55" t="s">
        <v>37</v>
      </c>
      <c r="Z55" t="s">
        <v>37</v>
      </c>
      <c r="AA55" t="s">
        <v>37</v>
      </c>
      <c r="AB55" t="s">
        <v>37</v>
      </c>
      <c r="AC55" t="s">
        <v>37</v>
      </c>
      <c r="AD55" t="s">
        <v>37</v>
      </c>
      <c r="AE55" t="s">
        <v>37</v>
      </c>
      <c r="AF55" t="s">
        <v>37</v>
      </c>
      <c r="AG55" t="s">
        <v>37</v>
      </c>
      <c r="AH55" t="s">
        <v>37</v>
      </c>
      <c r="AI55" t="s">
        <v>37</v>
      </c>
      <c r="AJ55" t="s">
        <v>499</v>
      </c>
    </row>
    <row r="56" spans="1:36" ht="18.75" x14ac:dyDescent="0.25">
      <c r="A56" s="11">
        <f t="shared" si="1"/>
        <v>2.9411764705882359E-2</v>
      </c>
      <c r="B56" s="13" t="str">
        <f t="array" aca="1" ref="B56" ca="1">OFFSET(C56,,MATCH(TRUE,C56:AJ56&lt;&gt;"",0)-1)</f>
        <v>Consumption measurement</v>
      </c>
      <c r="AF56" t="s">
        <v>1449</v>
      </c>
    </row>
    <row r="57" spans="1:36" ht="18.75" x14ac:dyDescent="0.25">
      <c r="A57" s="11">
        <f t="shared" si="1"/>
        <v>2.9411764705882359E-2</v>
      </c>
      <c r="B57" s="13" t="str">
        <f t="array" aca="1" ref="B57" ca="1">OFFSET(C57,,MATCH(TRUE,C57:AJ57&lt;&gt;"",0)-1)</f>
        <v>Flow meter for fresh water and service water</v>
      </c>
      <c r="AF57" t="s">
        <v>1450</v>
      </c>
    </row>
    <row r="58" spans="1:36" ht="18.75" x14ac:dyDescent="0.25">
      <c r="A58" s="11">
        <f t="shared" si="1"/>
        <v>5.8823529411764719E-2</v>
      </c>
      <c r="B58" s="13" t="str">
        <f t="array" aca="1" ref="B58" ca="1">OFFSET(C58,,MATCH(TRUE,C58:AJ58&lt;&gt;"",0)-1)</f>
        <v>Flow meter for steam</v>
      </c>
      <c r="C58" s="8"/>
      <c r="O58" t="s">
        <v>1375</v>
      </c>
      <c r="AF58" t="s">
        <v>1375</v>
      </c>
    </row>
    <row r="59" spans="1:36" ht="18.75" x14ac:dyDescent="0.25">
      <c r="A59" s="11">
        <f t="shared" si="1"/>
        <v>5.8823529411764719E-2</v>
      </c>
      <c r="B59" s="13" t="str">
        <f t="array" aca="1" ref="B59" ca="1">OFFSET(C59,,MATCH(TRUE,C59:AJ59&lt;&gt;"",0)-1)</f>
        <v>Bomba de retorno (área CR79)</v>
      </c>
      <c r="I59" t="s">
        <v>500</v>
      </c>
      <c r="AF59" t="s">
        <v>1451</v>
      </c>
    </row>
    <row r="60" spans="1:36" ht="18.75" x14ac:dyDescent="0.25">
      <c r="A60" s="11">
        <f t="shared" si="1"/>
        <v>1</v>
      </c>
      <c r="B60" s="13" t="str">
        <f t="array" aca="1" ref="B60" ca="1">OFFSET(C60,,MATCH(TRUE,C60:AJ60&lt;&gt;"",0)-1)</f>
        <v>Signaling equipment</v>
      </c>
      <c r="C60" s="8" t="s">
        <v>38</v>
      </c>
      <c r="D60" t="s">
        <v>38</v>
      </c>
      <c r="E60" t="s">
        <v>38</v>
      </c>
      <c r="F60" t="s">
        <v>189</v>
      </c>
      <c r="G60" t="s">
        <v>189</v>
      </c>
      <c r="H60" t="s">
        <v>422</v>
      </c>
      <c r="I60" t="s">
        <v>189</v>
      </c>
      <c r="J60" t="s">
        <v>189</v>
      </c>
      <c r="K60" t="s">
        <v>189</v>
      </c>
      <c r="L60" t="s">
        <v>38</v>
      </c>
      <c r="M60" t="s">
        <v>38</v>
      </c>
      <c r="N60" t="s">
        <v>422</v>
      </c>
      <c r="O60" t="s">
        <v>38</v>
      </c>
      <c r="P60" t="s">
        <v>38</v>
      </c>
      <c r="Q60" t="s">
        <v>38</v>
      </c>
      <c r="R60" t="s">
        <v>1397</v>
      </c>
      <c r="S60" t="s">
        <v>189</v>
      </c>
      <c r="T60" t="s">
        <v>38</v>
      </c>
      <c r="U60" t="s">
        <v>38</v>
      </c>
      <c r="V60" t="s">
        <v>38</v>
      </c>
      <c r="W60" t="s">
        <v>38</v>
      </c>
      <c r="X60" t="s">
        <v>38</v>
      </c>
      <c r="Y60" t="s">
        <v>38</v>
      </c>
      <c r="Z60" t="s">
        <v>38</v>
      </c>
      <c r="AA60" t="s">
        <v>38</v>
      </c>
      <c r="AB60" t="s">
        <v>38</v>
      </c>
      <c r="AC60" t="s">
        <v>38</v>
      </c>
      <c r="AD60" t="s">
        <v>38</v>
      </c>
      <c r="AE60" t="s">
        <v>38</v>
      </c>
      <c r="AF60" t="s">
        <v>38</v>
      </c>
      <c r="AG60" t="s">
        <v>38</v>
      </c>
      <c r="AH60" t="s">
        <v>38</v>
      </c>
      <c r="AI60" t="s">
        <v>38</v>
      </c>
      <c r="AJ60" t="s">
        <v>189</v>
      </c>
    </row>
    <row r="61" spans="1:36" ht="18.75" x14ac:dyDescent="0.25">
      <c r="A61" s="11">
        <f t="shared" si="1"/>
        <v>1</v>
      </c>
      <c r="B61" s="13" t="str">
        <f t="array" aca="1" ref="B61" ca="1">OFFSET(C61,,MATCH(TRUE,C61:AJ61&lt;&gt;"",0)-1)</f>
        <v>Operating controls</v>
      </c>
      <c r="C61" s="8" t="s">
        <v>39</v>
      </c>
      <c r="D61" t="s">
        <v>39</v>
      </c>
      <c r="E61" t="s">
        <v>39</v>
      </c>
      <c r="F61" t="s">
        <v>190</v>
      </c>
      <c r="G61" t="s">
        <v>313</v>
      </c>
      <c r="H61" t="s">
        <v>423</v>
      </c>
      <c r="I61" t="s">
        <v>190</v>
      </c>
      <c r="J61" t="s">
        <v>190</v>
      </c>
      <c r="K61" t="s">
        <v>190</v>
      </c>
      <c r="L61" t="s">
        <v>39</v>
      </c>
      <c r="M61" t="s">
        <v>39</v>
      </c>
      <c r="N61" t="s">
        <v>423</v>
      </c>
      <c r="O61" t="s">
        <v>39</v>
      </c>
      <c r="P61" t="s">
        <v>39</v>
      </c>
      <c r="Q61" t="s">
        <v>39</v>
      </c>
      <c r="R61" t="s">
        <v>39</v>
      </c>
      <c r="S61" t="s">
        <v>190</v>
      </c>
      <c r="T61" t="s">
        <v>39</v>
      </c>
      <c r="U61" t="s">
        <v>39</v>
      </c>
      <c r="V61" t="s">
        <v>39</v>
      </c>
      <c r="W61" t="s">
        <v>39</v>
      </c>
      <c r="X61" t="s">
        <v>39</v>
      </c>
      <c r="Y61" t="s">
        <v>39</v>
      </c>
      <c r="Z61" t="s">
        <v>39</v>
      </c>
      <c r="AA61" t="s">
        <v>39</v>
      </c>
      <c r="AB61" t="s">
        <v>39</v>
      </c>
      <c r="AC61" t="s">
        <v>39</v>
      </c>
      <c r="AD61" t="s">
        <v>39</v>
      </c>
      <c r="AE61" t="s">
        <v>39</v>
      </c>
      <c r="AF61" t="s">
        <v>39</v>
      </c>
      <c r="AG61" t="s">
        <v>39</v>
      </c>
      <c r="AH61" t="s">
        <v>39</v>
      </c>
      <c r="AI61" t="s">
        <v>39</v>
      </c>
      <c r="AJ61" t="s">
        <v>190</v>
      </c>
    </row>
    <row r="62" spans="1:36" ht="18.75" x14ac:dyDescent="0.25">
      <c r="A62" s="11">
        <f t="shared" si="1"/>
        <v>0.8529411764705882</v>
      </c>
      <c r="B62" s="13" t="str">
        <f t="array" aca="1" ref="B62" ca="1">OFFSET(C62,,MATCH(TRUE,C62:AJ62&lt;&gt;"",0)-1)</f>
        <v>Operator console</v>
      </c>
      <c r="C62" s="8"/>
      <c r="D62" t="s">
        <v>61</v>
      </c>
      <c r="E62" t="s">
        <v>61</v>
      </c>
      <c r="F62" t="s">
        <v>191</v>
      </c>
      <c r="G62" t="s">
        <v>314</v>
      </c>
      <c r="H62" t="s">
        <v>424</v>
      </c>
      <c r="J62" t="s">
        <v>548</v>
      </c>
      <c r="K62" t="s">
        <v>563</v>
      </c>
      <c r="L62" t="s">
        <v>61</v>
      </c>
      <c r="M62" t="s">
        <v>61</v>
      </c>
      <c r="N62" t="s">
        <v>424</v>
      </c>
      <c r="P62" t="s">
        <v>61</v>
      </c>
      <c r="Q62" t="s">
        <v>61</v>
      </c>
      <c r="R62" t="s">
        <v>61</v>
      </c>
      <c r="S62" t="s">
        <v>508</v>
      </c>
      <c r="T62" t="s">
        <v>61</v>
      </c>
      <c r="U62" t="s">
        <v>61</v>
      </c>
      <c r="V62" t="s">
        <v>61</v>
      </c>
      <c r="W62" t="s">
        <v>61</v>
      </c>
      <c r="X62" t="s">
        <v>61</v>
      </c>
      <c r="Y62" t="s">
        <v>61</v>
      </c>
      <c r="AA62" t="s">
        <v>61</v>
      </c>
      <c r="AB62" t="s">
        <v>61</v>
      </c>
      <c r="AD62" t="s">
        <v>61</v>
      </c>
      <c r="AE62" t="s">
        <v>61</v>
      </c>
      <c r="AF62" t="s">
        <v>61</v>
      </c>
      <c r="AG62" t="s">
        <v>61</v>
      </c>
      <c r="AH62" t="s">
        <v>61</v>
      </c>
      <c r="AI62" t="s">
        <v>61</v>
      </c>
      <c r="AJ62" t="s">
        <v>508</v>
      </c>
    </row>
    <row r="63" spans="1:36" ht="18.75" x14ac:dyDescent="0.25">
      <c r="A63" s="11">
        <f t="shared" si="1"/>
        <v>0.8529411764705882</v>
      </c>
      <c r="B63" s="13" t="str">
        <f t="array" aca="1" ref="B63" ca="1">OFFSET(C63,,MATCH(TRUE,C63:AJ63&lt;&gt;"",0)-1)</f>
        <v>Graphical user interface</v>
      </c>
      <c r="C63" s="8"/>
      <c r="D63" t="s">
        <v>132</v>
      </c>
      <c r="E63" t="s">
        <v>132</v>
      </c>
      <c r="F63" t="s">
        <v>192</v>
      </c>
      <c r="G63" t="s">
        <v>315</v>
      </c>
      <c r="H63" t="s">
        <v>425</v>
      </c>
      <c r="J63" t="s">
        <v>192</v>
      </c>
      <c r="K63" t="s">
        <v>192</v>
      </c>
      <c r="L63" t="s">
        <v>132</v>
      </c>
      <c r="M63" t="s">
        <v>132</v>
      </c>
      <c r="N63" t="s">
        <v>425</v>
      </c>
      <c r="P63" t="s">
        <v>132</v>
      </c>
      <c r="Q63" t="s">
        <v>132</v>
      </c>
      <c r="R63" t="s">
        <v>132</v>
      </c>
      <c r="S63" t="s">
        <v>1420</v>
      </c>
      <c r="T63" t="s">
        <v>132</v>
      </c>
      <c r="U63" t="s">
        <v>132</v>
      </c>
      <c r="V63" t="s">
        <v>132</v>
      </c>
      <c r="W63" t="s">
        <v>132</v>
      </c>
      <c r="X63" t="s">
        <v>132</v>
      </c>
      <c r="Y63" t="s">
        <v>132</v>
      </c>
      <c r="AA63" t="s">
        <v>132</v>
      </c>
      <c r="AB63" t="s">
        <v>132</v>
      </c>
      <c r="AD63" t="s">
        <v>132</v>
      </c>
      <c r="AE63" t="s">
        <v>132</v>
      </c>
      <c r="AF63" t="s">
        <v>132</v>
      </c>
      <c r="AG63" t="s">
        <v>132</v>
      </c>
      <c r="AH63" t="s">
        <v>132</v>
      </c>
      <c r="AI63" t="s">
        <v>132</v>
      </c>
      <c r="AJ63" t="s">
        <v>1420</v>
      </c>
    </row>
    <row r="64" spans="1:36" ht="18.75" x14ac:dyDescent="0.25">
      <c r="A64" s="11">
        <f t="shared" si="1"/>
        <v>0.8529411764705882</v>
      </c>
      <c r="B64" s="13" t="str">
        <f t="array" aca="1" ref="B64" ca="1">OFFSET(C64,,MATCH(TRUE,C64:AJ64&lt;&gt;"",0)-1)</f>
        <v>Main window</v>
      </c>
      <c r="C64" s="8"/>
      <c r="D64" t="s">
        <v>133</v>
      </c>
      <c r="E64" t="s">
        <v>133</v>
      </c>
      <c r="F64" t="s">
        <v>193</v>
      </c>
      <c r="G64" t="s">
        <v>316</v>
      </c>
      <c r="H64" t="s">
        <v>316</v>
      </c>
      <c r="J64" t="s">
        <v>193</v>
      </c>
      <c r="K64" t="s">
        <v>193</v>
      </c>
      <c r="L64" t="s">
        <v>133</v>
      </c>
      <c r="M64" t="s">
        <v>133</v>
      </c>
      <c r="N64" t="s">
        <v>316</v>
      </c>
      <c r="P64" t="s">
        <v>133</v>
      </c>
      <c r="Q64" t="s">
        <v>133</v>
      </c>
      <c r="R64" t="s">
        <v>133</v>
      </c>
      <c r="S64" t="s">
        <v>1421</v>
      </c>
      <c r="T64" t="s">
        <v>133</v>
      </c>
      <c r="U64" t="s">
        <v>133</v>
      </c>
      <c r="V64" t="s">
        <v>133</v>
      </c>
      <c r="W64" t="s">
        <v>133</v>
      </c>
      <c r="X64" t="s">
        <v>133</v>
      </c>
      <c r="Y64" t="s">
        <v>133</v>
      </c>
      <c r="AA64" t="s">
        <v>133</v>
      </c>
      <c r="AB64" t="s">
        <v>133</v>
      </c>
      <c r="AD64" t="s">
        <v>133</v>
      </c>
      <c r="AE64" t="s">
        <v>133</v>
      </c>
      <c r="AF64" t="s">
        <v>133</v>
      </c>
      <c r="AG64" t="s">
        <v>133</v>
      </c>
      <c r="AH64" t="s">
        <v>133</v>
      </c>
      <c r="AI64" t="s">
        <v>133</v>
      </c>
      <c r="AJ64" t="s">
        <v>1421</v>
      </c>
    </row>
    <row r="65" spans="1:36" ht="18.75" x14ac:dyDescent="0.25">
      <c r="A65" s="11">
        <f t="shared" si="1"/>
        <v>0.8529411764705882</v>
      </c>
      <c r="B65" s="13" t="str">
        <f t="array" aca="1" ref="B65" ca="1">OFFSET(C65,,MATCH(TRUE,C65:AJ65&lt;&gt;"",0)-1)</f>
        <v>Favorites</v>
      </c>
      <c r="C65" s="8"/>
      <c r="D65" t="s">
        <v>134</v>
      </c>
      <c r="E65" t="s">
        <v>134</v>
      </c>
      <c r="F65" t="s">
        <v>194</v>
      </c>
      <c r="G65" t="s">
        <v>194</v>
      </c>
      <c r="H65" t="s">
        <v>194</v>
      </c>
      <c r="J65" t="s">
        <v>194</v>
      </c>
      <c r="K65" t="s">
        <v>194</v>
      </c>
      <c r="L65" t="s">
        <v>134</v>
      </c>
      <c r="M65" t="s">
        <v>134</v>
      </c>
      <c r="N65" t="s">
        <v>194</v>
      </c>
      <c r="P65" t="s">
        <v>134</v>
      </c>
      <c r="Q65" t="s">
        <v>134</v>
      </c>
      <c r="R65" t="s">
        <v>1398</v>
      </c>
      <c r="S65" t="s">
        <v>194</v>
      </c>
      <c r="T65" t="s">
        <v>134</v>
      </c>
      <c r="U65" t="s">
        <v>134</v>
      </c>
      <c r="V65" t="s">
        <v>134</v>
      </c>
      <c r="W65" t="s">
        <v>134</v>
      </c>
      <c r="X65" t="s">
        <v>134</v>
      </c>
      <c r="Y65" t="s">
        <v>134</v>
      </c>
      <c r="AA65" t="s">
        <v>134</v>
      </c>
      <c r="AB65" t="s">
        <v>134</v>
      </c>
      <c r="AD65" t="s">
        <v>134</v>
      </c>
      <c r="AE65" t="s">
        <v>134</v>
      </c>
      <c r="AF65" t="s">
        <v>134</v>
      </c>
      <c r="AG65" t="s">
        <v>134</v>
      </c>
      <c r="AH65" t="s">
        <v>134</v>
      </c>
      <c r="AI65" t="s">
        <v>134</v>
      </c>
      <c r="AJ65" t="s">
        <v>194</v>
      </c>
    </row>
    <row r="66" spans="1:36" ht="18.75" x14ac:dyDescent="0.25">
      <c r="A66" s="11">
        <f t="shared" si="1"/>
        <v>0.8529411764705882</v>
      </c>
      <c r="B66" s="13" t="str">
        <f t="array" aca="1" ref="B66" ca="1">OFFSET(C66,,MATCH(TRUE,C66:AJ66&lt;&gt;"",0)-1)</f>
        <v>Logging in and logging out</v>
      </c>
      <c r="C66" s="8"/>
      <c r="D66" t="s">
        <v>135</v>
      </c>
      <c r="E66" t="s">
        <v>135</v>
      </c>
      <c r="F66" t="s">
        <v>195</v>
      </c>
      <c r="G66" t="s">
        <v>317</v>
      </c>
      <c r="H66" t="s">
        <v>426</v>
      </c>
      <c r="J66" t="s">
        <v>195</v>
      </c>
      <c r="K66" t="s">
        <v>564</v>
      </c>
      <c r="L66" t="s">
        <v>135</v>
      </c>
      <c r="M66" t="s">
        <v>135</v>
      </c>
      <c r="N66" t="s">
        <v>426</v>
      </c>
      <c r="P66" t="s">
        <v>135</v>
      </c>
      <c r="Q66" t="s">
        <v>135</v>
      </c>
      <c r="R66" t="s">
        <v>135</v>
      </c>
      <c r="S66" t="s">
        <v>1422</v>
      </c>
      <c r="T66" t="s">
        <v>135</v>
      </c>
      <c r="U66" t="s">
        <v>135</v>
      </c>
      <c r="V66" t="s">
        <v>135</v>
      </c>
      <c r="W66" t="s">
        <v>135</v>
      </c>
      <c r="X66" t="s">
        <v>135</v>
      </c>
      <c r="Y66" t="s">
        <v>135</v>
      </c>
      <c r="AA66" t="s">
        <v>135</v>
      </c>
      <c r="AB66" t="s">
        <v>135</v>
      </c>
      <c r="AD66" t="s">
        <v>135</v>
      </c>
      <c r="AE66" t="s">
        <v>135</v>
      </c>
      <c r="AF66" t="s">
        <v>135</v>
      </c>
      <c r="AG66" t="s">
        <v>135</v>
      </c>
      <c r="AH66" t="s">
        <v>135</v>
      </c>
      <c r="AI66" t="s">
        <v>135</v>
      </c>
      <c r="AJ66" t="s">
        <v>1422</v>
      </c>
    </row>
    <row r="67" spans="1:36" ht="18.75" x14ac:dyDescent="0.25">
      <c r="A67" s="11">
        <f t="shared" si="1"/>
        <v>0.8529411764705882</v>
      </c>
      <c r="B67" s="13" t="str">
        <f t="array" aca="1" ref="B67" ca="1">OFFSET(C67,,MATCH(TRUE,C67:AJ67&lt;&gt;"",0)-1)</f>
        <v>Main menu</v>
      </c>
      <c r="C67" s="8"/>
      <c r="D67" t="s">
        <v>136</v>
      </c>
      <c r="E67" t="s">
        <v>136</v>
      </c>
      <c r="F67" t="s">
        <v>196</v>
      </c>
      <c r="G67" t="s">
        <v>318</v>
      </c>
      <c r="H67" t="s">
        <v>318</v>
      </c>
      <c r="J67" t="s">
        <v>196</v>
      </c>
      <c r="K67" t="s">
        <v>196</v>
      </c>
      <c r="L67" t="s">
        <v>136</v>
      </c>
      <c r="M67" t="s">
        <v>136</v>
      </c>
      <c r="N67" t="s">
        <v>318</v>
      </c>
      <c r="P67" t="s">
        <v>136</v>
      </c>
      <c r="Q67" t="s">
        <v>136</v>
      </c>
      <c r="R67" t="s">
        <v>136</v>
      </c>
      <c r="S67" t="s">
        <v>196</v>
      </c>
      <c r="T67" t="s">
        <v>136</v>
      </c>
      <c r="U67" t="s">
        <v>136</v>
      </c>
      <c r="V67" t="s">
        <v>136</v>
      </c>
      <c r="W67" t="s">
        <v>136</v>
      </c>
      <c r="X67" t="s">
        <v>136</v>
      </c>
      <c r="Y67" t="s">
        <v>136</v>
      </c>
      <c r="AA67" t="s">
        <v>136</v>
      </c>
      <c r="AB67" t="s">
        <v>136</v>
      </c>
      <c r="AD67" t="s">
        <v>136</v>
      </c>
      <c r="AE67" t="s">
        <v>136</v>
      </c>
      <c r="AF67" t="s">
        <v>136</v>
      </c>
      <c r="AG67" t="s">
        <v>136</v>
      </c>
      <c r="AH67" t="s">
        <v>136</v>
      </c>
      <c r="AI67" t="s">
        <v>136</v>
      </c>
      <c r="AJ67" t="s">
        <v>196</v>
      </c>
    </row>
    <row r="68" spans="1:36" ht="18.75" x14ac:dyDescent="0.25">
      <c r="A68" s="11">
        <f t="shared" si="1"/>
        <v>0.8529411764705882</v>
      </c>
      <c r="B68" s="13" t="str">
        <f t="array" aca="1" ref="B68" ca="1">OFFSET(C68,,MATCH(TRUE,C68:AJ68&lt;&gt;"",0)-1)</f>
        <v>Cleaning system</v>
      </c>
      <c r="C68" s="8"/>
      <c r="D68" t="s">
        <v>30</v>
      </c>
      <c r="E68" t="s">
        <v>30</v>
      </c>
      <c r="F68" t="s">
        <v>183</v>
      </c>
      <c r="G68" t="s">
        <v>307</v>
      </c>
      <c r="H68" t="s">
        <v>307</v>
      </c>
      <c r="J68" t="s">
        <v>183</v>
      </c>
      <c r="K68" t="s">
        <v>183</v>
      </c>
      <c r="L68" t="s">
        <v>30</v>
      </c>
      <c r="M68" t="s">
        <v>30</v>
      </c>
      <c r="N68" t="s">
        <v>307</v>
      </c>
      <c r="P68" t="s">
        <v>30</v>
      </c>
      <c r="Q68" t="s">
        <v>30</v>
      </c>
      <c r="R68" t="s">
        <v>30</v>
      </c>
      <c r="S68" t="s">
        <v>183</v>
      </c>
      <c r="T68" t="s">
        <v>30</v>
      </c>
      <c r="U68" t="s">
        <v>30</v>
      </c>
      <c r="V68" t="s">
        <v>30</v>
      </c>
      <c r="W68" t="s">
        <v>30</v>
      </c>
      <c r="X68" t="s">
        <v>30</v>
      </c>
      <c r="Y68" t="s">
        <v>30</v>
      </c>
      <c r="AA68" t="s">
        <v>30</v>
      </c>
      <c r="AB68" t="s">
        <v>30</v>
      </c>
      <c r="AD68" t="s">
        <v>30</v>
      </c>
      <c r="AE68" t="s">
        <v>30</v>
      </c>
      <c r="AF68" t="s">
        <v>30</v>
      </c>
      <c r="AG68" t="s">
        <v>30</v>
      </c>
      <c r="AH68" t="s">
        <v>30</v>
      </c>
      <c r="AI68" t="s">
        <v>30</v>
      </c>
      <c r="AJ68" t="s">
        <v>183</v>
      </c>
    </row>
    <row r="69" spans="1:36" ht="18.75" x14ac:dyDescent="0.25">
      <c r="A69" s="11">
        <f t="shared" si="1"/>
        <v>1</v>
      </c>
      <c r="B69" s="13" t="str">
        <f t="array" aca="1" ref="B69" ca="1">OFFSET(C69,,MATCH(TRUE,C69:AJ69&lt;&gt;"",0)-1)</f>
        <v>Workstation</v>
      </c>
      <c r="C69" s="8" t="s">
        <v>40</v>
      </c>
      <c r="D69" t="s">
        <v>40</v>
      </c>
      <c r="E69" t="s">
        <v>40</v>
      </c>
      <c r="F69" t="s">
        <v>197</v>
      </c>
      <c r="G69" t="s">
        <v>319</v>
      </c>
      <c r="H69" t="s">
        <v>427</v>
      </c>
      <c r="I69" t="s">
        <v>197</v>
      </c>
      <c r="J69" t="s">
        <v>197</v>
      </c>
      <c r="K69" t="s">
        <v>197</v>
      </c>
      <c r="L69" t="s">
        <v>40</v>
      </c>
      <c r="M69" t="s">
        <v>40</v>
      </c>
      <c r="N69" t="s">
        <v>427</v>
      </c>
      <c r="O69" t="s">
        <v>40</v>
      </c>
      <c r="P69" t="s">
        <v>40</v>
      </c>
      <c r="Q69" t="s">
        <v>40</v>
      </c>
      <c r="R69" t="s">
        <v>40</v>
      </c>
      <c r="S69" t="s">
        <v>197</v>
      </c>
      <c r="T69" t="s">
        <v>40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40</v>
      </c>
      <c r="AA69" t="s">
        <v>40</v>
      </c>
      <c r="AB69" t="s">
        <v>40</v>
      </c>
      <c r="AC69" t="s">
        <v>40</v>
      </c>
      <c r="AD69" t="s">
        <v>40</v>
      </c>
      <c r="AE69" t="s">
        <v>40</v>
      </c>
      <c r="AF69" t="s">
        <v>40</v>
      </c>
      <c r="AG69" t="s">
        <v>40</v>
      </c>
      <c r="AH69" t="s">
        <v>40</v>
      </c>
      <c r="AI69" t="s">
        <v>40</v>
      </c>
      <c r="AJ69" t="s">
        <v>197</v>
      </c>
    </row>
    <row r="70" spans="1:36" ht="18.75" x14ac:dyDescent="0.25">
      <c r="A70" s="11">
        <f t="shared" si="1"/>
        <v>0.20588235294117652</v>
      </c>
      <c r="B70" s="13" t="str">
        <f t="array" aca="1" ref="B70" ca="1">OFFSET(C70,,MATCH(TRUE,C70:AJ70&lt;&gt;"",0)-1)</f>
        <v>Remote access for Remote Diagnostic Service (ReDiS)</v>
      </c>
      <c r="C70" s="8"/>
      <c r="E70" t="s">
        <v>143</v>
      </c>
      <c r="H70" t="s">
        <v>428</v>
      </c>
      <c r="L70" t="s">
        <v>143</v>
      </c>
      <c r="M70" t="s">
        <v>143</v>
      </c>
      <c r="N70" t="s">
        <v>428</v>
      </c>
      <c r="P70" t="s">
        <v>143</v>
      </c>
      <c r="Q70" t="s">
        <v>1387</v>
      </c>
    </row>
    <row r="71" spans="1:36" ht="18.75" x14ac:dyDescent="0.25">
      <c r="A71" s="11">
        <f t="shared" ref="A71:A134" si="2">(1-COUNTBLANK(C71:AJ71)/COLUMNS(C71:AJ71))</f>
        <v>1</v>
      </c>
      <c r="B71" s="13" t="str">
        <f t="array" aca="1" ref="B71" ca="1">OFFSET(C71,,MATCH(TRUE,C71:AJ71&lt;&gt;"",0)-1)</f>
        <v>Measuring, control and regulating equipment</v>
      </c>
      <c r="C71" s="8" t="s">
        <v>41</v>
      </c>
      <c r="D71" t="s">
        <v>41</v>
      </c>
      <c r="E71" t="s">
        <v>41</v>
      </c>
      <c r="F71" t="s">
        <v>198</v>
      </c>
      <c r="G71" t="s">
        <v>320</v>
      </c>
      <c r="H71" t="s">
        <v>320</v>
      </c>
      <c r="I71" t="s">
        <v>501</v>
      </c>
      <c r="J71" t="s">
        <v>198</v>
      </c>
      <c r="K71" t="s">
        <v>198</v>
      </c>
      <c r="L71" t="s">
        <v>41</v>
      </c>
      <c r="M71" t="s">
        <v>41</v>
      </c>
      <c r="N71" t="s">
        <v>320</v>
      </c>
      <c r="O71" t="s">
        <v>41</v>
      </c>
      <c r="P71" t="s">
        <v>41</v>
      </c>
      <c r="Q71" t="s">
        <v>41</v>
      </c>
      <c r="R71" t="s">
        <v>41</v>
      </c>
      <c r="S71" t="s">
        <v>1423</v>
      </c>
      <c r="T71" t="s">
        <v>41</v>
      </c>
      <c r="U71" t="s">
        <v>41</v>
      </c>
      <c r="V71" t="s">
        <v>41</v>
      </c>
      <c r="W71" t="s">
        <v>41</v>
      </c>
      <c r="X71" t="s">
        <v>1444</v>
      </c>
      <c r="Y71" t="s">
        <v>41</v>
      </c>
      <c r="Z71" t="s">
        <v>41</v>
      </c>
      <c r="AA71" t="s">
        <v>41</v>
      </c>
      <c r="AB71" t="s">
        <v>41</v>
      </c>
      <c r="AC71" t="s">
        <v>41</v>
      </c>
      <c r="AD71" t="s">
        <v>41</v>
      </c>
      <c r="AE71" t="s">
        <v>41</v>
      </c>
      <c r="AF71" t="s">
        <v>41</v>
      </c>
      <c r="AG71" t="s">
        <v>41</v>
      </c>
      <c r="AH71" t="s">
        <v>41</v>
      </c>
      <c r="AI71" t="s">
        <v>41</v>
      </c>
      <c r="AJ71" t="s">
        <v>1423</v>
      </c>
    </row>
    <row r="72" spans="1:36" ht="18.75" x14ac:dyDescent="0.25">
      <c r="A72" s="11">
        <f t="shared" si="2"/>
        <v>1</v>
      </c>
      <c r="B72" s="13" t="str">
        <f t="array" aca="1" ref="B72" ca="1">OFFSET(C72,,MATCH(TRUE,C72:AJ72&lt;&gt;"",0)-1)</f>
        <v>Switch cabinet</v>
      </c>
      <c r="C72" s="8" t="s">
        <v>42</v>
      </c>
      <c r="D72" t="s">
        <v>42</v>
      </c>
      <c r="E72" t="s">
        <v>42</v>
      </c>
      <c r="F72" t="s">
        <v>199</v>
      </c>
      <c r="G72" t="s">
        <v>321</v>
      </c>
      <c r="H72" t="s">
        <v>321</v>
      </c>
      <c r="I72" t="s">
        <v>199</v>
      </c>
      <c r="J72" t="s">
        <v>199</v>
      </c>
      <c r="K72" t="s">
        <v>199</v>
      </c>
      <c r="L72" t="s">
        <v>42</v>
      </c>
      <c r="M72" t="s">
        <v>42</v>
      </c>
      <c r="N72" t="s">
        <v>321</v>
      </c>
      <c r="O72" t="s">
        <v>42</v>
      </c>
      <c r="P72" t="s">
        <v>42</v>
      </c>
      <c r="Q72" t="s">
        <v>42</v>
      </c>
      <c r="R72" t="s">
        <v>42</v>
      </c>
      <c r="S72" t="s">
        <v>199</v>
      </c>
      <c r="T72" t="s">
        <v>42</v>
      </c>
      <c r="U72" t="s">
        <v>42</v>
      </c>
      <c r="V72" t="s">
        <v>42</v>
      </c>
      <c r="W72" t="s">
        <v>42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42</v>
      </c>
      <c r="AG72" t="s">
        <v>42</v>
      </c>
      <c r="AH72" t="s">
        <v>42</v>
      </c>
      <c r="AI72" t="s">
        <v>42</v>
      </c>
      <c r="AJ72" t="s">
        <v>199</v>
      </c>
    </row>
    <row r="73" spans="1:36" ht="18.75" x14ac:dyDescent="0.25">
      <c r="A73" s="11">
        <f t="shared" si="2"/>
        <v>1</v>
      </c>
      <c r="B73" s="13" t="str">
        <f t="array" aca="1" ref="B73" ca="1">OFFSET(C73,,MATCH(TRUE,C73:AJ73&lt;&gt;"",0)-1)</f>
        <v>Machine control</v>
      </c>
      <c r="C73" s="8" t="s">
        <v>43</v>
      </c>
      <c r="D73" t="s">
        <v>43</v>
      </c>
      <c r="E73" t="s">
        <v>43</v>
      </c>
      <c r="F73" t="s">
        <v>200</v>
      </c>
      <c r="G73" t="s">
        <v>322</v>
      </c>
      <c r="H73" t="s">
        <v>322</v>
      </c>
      <c r="I73" t="s">
        <v>200</v>
      </c>
      <c r="J73" t="s">
        <v>200</v>
      </c>
      <c r="K73" t="s">
        <v>200</v>
      </c>
      <c r="L73" t="s">
        <v>43</v>
      </c>
      <c r="M73" t="s">
        <v>43</v>
      </c>
      <c r="N73" t="s">
        <v>322</v>
      </c>
      <c r="O73" t="s">
        <v>43</v>
      </c>
      <c r="P73" t="s">
        <v>43</v>
      </c>
      <c r="Q73" t="s">
        <v>43</v>
      </c>
      <c r="R73" t="s">
        <v>1399</v>
      </c>
      <c r="S73" t="s">
        <v>200</v>
      </c>
      <c r="T73" t="s">
        <v>43</v>
      </c>
      <c r="U73" t="s">
        <v>43</v>
      </c>
      <c r="V73" t="s">
        <v>43</v>
      </c>
      <c r="W73" t="s">
        <v>43</v>
      </c>
      <c r="X73" t="s">
        <v>43</v>
      </c>
      <c r="Y73" t="s">
        <v>43</v>
      </c>
      <c r="Z73" t="s">
        <v>43</v>
      </c>
      <c r="AA73" t="s">
        <v>43</v>
      </c>
      <c r="AB73" t="s">
        <v>43</v>
      </c>
      <c r="AC73" t="s">
        <v>43</v>
      </c>
      <c r="AD73" t="s">
        <v>43</v>
      </c>
      <c r="AE73" t="s">
        <v>43</v>
      </c>
      <c r="AF73" t="s">
        <v>43</v>
      </c>
      <c r="AG73" t="s">
        <v>43</v>
      </c>
      <c r="AH73" t="s">
        <v>43</v>
      </c>
      <c r="AI73" t="s">
        <v>43</v>
      </c>
      <c r="AJ73" t="s">
        <v>200</v>
      </c>
    </row>
    <row r="74" spans="1:36" ht="18.75" x14ac:dyDescent="0.25">
      <c r="A74" s="11">
        <f t="shared" si="2"/>
        <v>1</v>
      </c>
      <c r="B74" s="13" t="str">
        <f t="array" aca="1" ref="B74" ca="1">OFFSET(C74,,MATCH(TRUE,C74:AJ74&lt;&gt;"",0)-1)</f>
        <v>Cleaning control</v>
      </c>
      <c r="C74" s="8" t="s">
        <v>44</v>
      </c>
      <c r="D74" t="s">
        <v>44</v>
      </c>
      <c r="E74" t="s">
        <v>44</v>
      </c>
      <c r="F74" t="s">
        <v>201</v>
      </c>
      <c r="G74" t="s">
        <v>323</v>
      </c>
      <c r="H74" t="s">
        <v>323</v>
      </c>
      <c r="I74" t="s">
        <v>201</v>
      </c>
      <c r="J74" t="s">
        <v>201</v>
      </c>
      <c r="K74" t="s">
        <v>201</v>
      </c>
      <c r="L74" t="s">
        <v>44</v>
      </c>
      <c r="M74" t="s">
        <v>44</v>
      </c>
      <c r="N74" t="s">
        <v>323</v>
      </c>
      <c r="O74" t="s">
        <v>44</v>
      </c>
      <c r="P74" t="s">
        <v>44</v>
      </c>
      <c r="Q74" t="s">
        <v>44</v>
      </c>
      <c r="R74" t="s">
        <v>1400</v>
      </c>
      <c r="S74" t="s">
        <v>201</v>
      </c>
      <c r="T74" t="s">
        <v>44</v>
      </c>
      <c r="U74" t="s">
        <v>44</v>
      </c>
      <c r="V74" t="s">
        <v>44</v>
      </c>
      <c r="W74" t="s">
        <v>44</v>
      </c>
      <c r="X74" t="s">
        <v>44</v>
      </c>
      <c r="Y74" t="s">
        <v>44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44</v>
      </c>
      <c r="AH74" t="s">
        <v>44</v>
      </c>
      <c r="AI74" t="s">
        <v>44</v>
      </c>
      <c r="AJ74" t="s">
        <v>201</v>
      </c>
    </row>
    <row r="75" spans="1:36" ht="18.75" x14ac:dyDescent="0.25">
      <c r="A75" s="11">
        <f t="shared" si="2"/>
        <v>1</v>
      </c>
      <c r="B75" s="13" t="str">
        <f t="array" aca="1" ref="B75" ca="1">OFFSET(C75,,MATCH(TRUE,C75:AJ75&lt;&gt;"",0)-1)</f>
        <v>Pneumatics</v>
      </c>
      <c r="C75" s="8" t="s">
        <v>45</v>
      </c>
      <c r="D75" t="s">
        <v>45</v>
      </c>
      <c r="E75" t="s">
        <v>45</v>
      </c>
      <c r="F75" t="s">
        <v>202</v>
      </c>
      <c r="G75" t="s">
        <v>324</v>
      </c>
      <c r="H75" t="s">
        <v>324</v>
      </c>
      <c r="I75" t="s">
        <v>202</v>
      </c>
      <c r="J75" t="s">
        <v>202</v>
      </c>
      <c r="K75" t="s">
        <v>202</v>
      </c>
      <c r="L75" t="s">
        <v>45</v>
      </c>
      <c r="M75" t="s">
        <v>45</v>
      </c>
      <c r="N75" t="s">
        <v>324</v>
      </c>
      <c r="O75" t="s">
        <v>45</v>
      </c>
      <c r="P75" t="s">
        <v>45</v>
      </c>
      <c r="Q75" t="s">
        <v>45</v>
      </c>
      <c r="R75" t="s">
        <v>45</v>
      </c>
      <c r="S75" t="s">
        <v>202</v>
      </c>
      <c r="T75" t="s">
        <v>45</v>
      </c>
      <c r="U75" t="s">
        <v>45</v>
      </c>
      <c r="V75" t="s">
        <v>45</v>
      </c>
      <c r="W75" t="s">
        <v>45</v>
      </c>
      <c r="X75" t="s">
        <v>45</v>
      </c>
      <c r="Y75" t="s">
        <v>45</v>
      </c>
      <c r="Z75" t="s">
        <v>45</v>
      </c>
      <c r="AA75" t="s">
        <v>45</v>
      </c>
      <c r="AB75" t="s">
        <v>45</v>
      </c>
      <c r="AC75" t="s">
        <v>45</v>
      </c>
      <c r="AD75" t="s">
        <v>45</v>
      </c>
      <c r="AE75" t="s">
        <v>45</v>
      </c>
      <c r="AF75" t="s">
        <v>45</v>
      </c>
      <c r="AG75" t="s">
        <v>45</v>
      </c>
      <c r="AH75" t="s">
        <v>45</v>
      </c>
      <c r="AI75" t="s">
        <v>45</v>
      </c>
      <c r="AJ75" t="s">
        <v>202</v>
      </c>
    </row>
    <row r="76" spans="1:36" ht="18.75" x14ac:dyDescent="0.25">
      <c r="A76" s="11">
        <f t="shared" si="2"/>
        <v>1</v>
      </c>
      <c r="B76" s="13" t="str">
        <f t="array" aca="1" ref="B76" ca="1">OFFSET(C76,,MATCH(TRUE,C76:AJ76&lt;&gt;"",0)-1)</f>
        <v>Electrical system</v>
      </c>
      <c r="C76" s="8" t="s">
        <v>46</v>
      </c>
      <c r="D76" t="s">
        <v>46</v>
      </c>
      <c r="E76" t="s">
        <v>46</v>
      </c>
      <c r="F76" t="s">
        <v>203</v>
      </c>
      <c r="G76" t="s">
        <v>325</v>
      </c>
      <c r="H76" t="s">
        <v>325</v>
      </c>
      <c r="I76" t="s">
        <v>502</v>
      </c>
      <c r="J76" t="s">
        <v>203</v>
      </c>
      <c r="K76" t="s">
        <v>502</v>
      </c>
      <c r="L76" t="s">
        <v>46</v>
      </c>
      <c r="M76" t="s">
        <v>46</v>
      </c>
      <c r="N76" t="s">
        <v>325</v>
      </c>
      <c r="O76" t="s">
        <v>46</v>
      </c>
      <c r="P76" t="s">
        <v>46</v>
      </c>
      <c r="Q76" t="s">
        <v>46</v>
      </c>
      <c r="R76" t="s">
        <v>46</v>
      </c>
      <c r="S76" t="s">
        <v>502</v>
      </c>
      <c r="T76" t="s">
        <v>46</v>
      </c>
      <c r="U76" t="s">
        <v>46</v>
      </c>
      <c r="V76" t="s">
        <v>46</v>
      </c>
      <c r="W76" t="s">
        <v>46</v>
      </c>
      <c r="X76" t="s">
        <v>46</v>
      </c>
      <c r="Y76" t="s">
        <v>46</v>
      </c>
      <c r="Z76" t="s">
        <v>46</v>
      </c>
      <c r="AA76" t="s">
        <v>46</v>
      </c>
      <c r="AB76" t="s">
        <v>46</v>
      </c>
      <c r="AC76" t="s">
        <v>46</v>
      </c>
      <c r="AD76" t="s">
        <v>46</v>
      </c>
      <c r="AE76" t="s">
        <v>46</v>
      </c>
      <c r="AF76" t="s">
        <v>46</v>
      </c>
      <c r="AG76" t="s">
        <v>46</v>
      </c>
      <c r="AH76" t="s">
        <v>46</v>
      </c>
      <c r="AI76" t="s">
        <v>46</v>
      </c>
      <c r="AJ76" t="s">
        <v>502</v>
      </c>
    </row>
    <row r="77" spans="1:36" ht="18.75" x14ac:dyDescent="0.25">
      <c r="A77" s="11">
        <f t="shared" si="2"/>
        <v>1</v>
      </c>
      <c r="B77" s="12" t="str">
        <f t="array" aca="1" ref="B77" ca="1">OFFSET(C77,,MATCH(TRUE,C77:AJ77&lt;&gt;"",0)-1)</f>
        <v>Assembly</v>
      </c>
      <c r="C77" s="9" t="s">
        <v>47</v>
      </c>
      <c r="D77" s="5" t="s">
        <v>47</v>
      </c>
      <c r="E77" s="5" t="s">
        <v>47</v>
      </c>
      <c r="F77" s="5" t="s">
        <v>204</v>
      </c>
      <c r="G77" s="5" t="s">
        <v>326</v>
      </c>
      <c r="H77" s="5" t="s">
        <v>326</v>
      </c>
      <c r="I77" s="5" t="s">
        <v>204</v>
      </c>
      <c r="J77" s="5" t="s">
        <v>204</v>
      </c>
      <c r="K77" s="5" t="s">
        <v>204</v>
      </c>
      <c r="L77" s="5" t="s">
        <v>47</v>
      </c>
      <c r="M77" s="5" t="s">
        <v>47</v>
      </c>
      <c r="N77" s="5" t="s">
        <v>326</v>
      </c>
      <c r="O77" s="5" t="s">
        <v>47</v>
      </c>
      <c r="P77" s="5" t="s">
        <v>47</v>
      </c>
      <c r="Q77" s="5" t="s">
        <v>47</v>
      </c>
      <c r="R77" s="5" t="s">
        <v>47</v>
      </c>
      <c r="S77" s="5" t="s">
        <v>204</v>
      </c>
      <c r="T77" s="5" t="s">
        <v>47</v>
      </c>
      <c r="U77" s="5" t="s">
        <v>47</v>
      </c>
      <c r="V77" s="5" t="s">
        <v>47</v>
      </c>
      <c r="W77" s="5" t="s">
        <v>47</v>
      </c>
      <c r="X77" s="5" t="s">
        <v>47</v>
      </c>
      <c r="Y77" s="5" t="s">
        <v>47</v>
      </c>
      <c r="Z77" s="5" t="s">
        <v>47</v>
      </c>
      <c r="AA77" s="5" t="s">
        <v>47</v>
      </c>
      <c r="AB77" s="5" t="s">
        <v>47</v>
      </c>
      <c r="AC77" s="5" t="s">
        <v>47</v>
      </c>
      <c r="AD77" s="5" t="s">
        <v>47</v>
      </c>
      <c r="AE77" s="5" t="s">
        <v>47</v>
      </c>
      <c r="AF77" s="5" t="s">
        <v>47</v>
      </c>
      <c r="AG77" s="5" t="s">
        <v>47</v>
      </c>
      <c r="AH77" s="5" t="s">
        <v>47</v>
      </c>
      <c r="AI77" s="5" t="s">
        <v>47</v>
      </c>
      <c r="AJ77" s="5" t="s">
        <v>204</v>
      </c>
    </row>
    <row r="78" spans="1:36" ht="18.75" x14ac:dyDescent="0.25">
      <c r="A78" s="11">
        <f t="shared" si="2"/>
        <v>1</v>
      </c>
      <c r="B78" s="13" t="str">
        <f t="array" aca="1" ref="B78" ca="1">OFFSET(C78,,MATCH(TRUE,C78:AJ78&lt;&gt;"",0)-1)</f>
        <v>Safety instructions</v>
      </c>
      <c r="C78" s="8" t="s">
        <v>48</v>
      </c>
      <c r="D78" t="s">
        <v>48</v>
      </c>
      <c r="E78" t="s">
        <v>48</v>
      </c>
      <c r="F78" t="s">
        <v>205</v>
      </c>
      <c r="G78" t="s">
        <v>327</v>
      </c>
      <c r="H78" t="s">
        <v>327</v>
      </c>
      <c r="I78" t="s">
        <v>503</v>
      </c>
      <c r="J78" t="s">
        <v>205</v>
      </c>
      <c r="K78" t="s">
        <v>205</v>
      </c>
      <c r="L78" t="s">
        <v>48</v>
      </c>
      <c r="M78" t="s">
        <v>48</v>
      </c>
      <c r="N78" t="s">
        <v>327</v>
      </c>
      <c r="O78" t="s">
        <v>48</v>
      </c>
      <c r="P78" t="s">
        <v>48</v>
      </c>
      <c r="Q78" t="s">
        <v>48</v>
      </c>
      <c r="R78" t="s">
        <v>48</v>
      </c>
      <c r="S78" t="s">
        <v>503</v>
      </c>
      <c r="T78" t="s">
        <v>48</v>
      </c>
      <c r="U78" t="s">
        <v>48</v>
      </c>
      <c r="V78" t="s">
        <v>48</v>
      </c>
      <c r="W78" t="s">
        <v>48</v>
      </c>
      <c r="X78" t="s">
        <v>48</v>
      </c>
      <c r="Y78" t="s">
        <v>48</v>
      </c>
      <c r="Z78" t="s">
        <v>48</v>
      </c>
      <c r="AA78" t="s">
        <v>48</v>
      </c>
      <c r="AB78" t="s">
        <v>48</v>
      </c>
      <c r="AC78" t="s">
        <v>48</v>
      </c>
      <c r="AD78" t="s">
        <v>48</v>
      </c>
      <c r="AE78" t="s">
        <v>48</v>
      </c>
      <c r="AF78" t="s">
        <v>48</v>
      </c>
      <c r="AG78" t="s">
        <v>48</v>
      </c>
      <c r="AH78" t="s">
        <v>48</v>
      </c>
      <c r="AI78" t="s">
        <v>48</v>
      </c>
      <c r="AJ78" t="s">
        <v>503</v>
      </c>
    </row>
    <row r="79" spans="1:36" ht="18.75" x14ac:dyDescent="0.25">
      <c r="A79" s="11">
        <f t="shared" si="2"/>
        <v>1</v>
      </c>
      <c r="B79" s="13" t="str">
        <f t="array" aca="1" ref="B79" ca="1">OFFSET(C79,,MATCH(TRUE,C79:AJ79&lt;&gt;"",0)-1)</f>
        <v>Check the items included in the delivery and inspect the shipment</v>
      </c>
      <c r="C79" s="8" t="s">
        <v>49</v>
      </c>
      <c r="D79" t="s">
        <v>49</v>
      </c>
      <c r="E79" t="s">
        <v>49</v>
      </c>
      <c r="F79" t="s">
        <v>206</v>
      </c>
      <c r="G79" t="s">
        <v>328</v>
      </c>
      <c r="H79" t="s">
        <v>429</v>
      </c>
      <c r="I79" t="s">
        <v>206</v>
      </c>
      <c r="J79" t="s">
        <v>206</v>
      </c>
      <c r="K79" t="s">
        <v>206</v>
      </c>
      <c r="L79" t="s">
        <v>49</v>
      </c>
      <c r="M79" t="s">
        <v>49</v>
      </c>
      <c r="N79" t="s">
        <v>429</v>
      </c>
      <c r="O79" t="s">
        <v>49</v>
      </c>
      <c r="P79" t="s">
        <v>49</v>
      </c>
      <c r="Q79" t="s">
        <v>49</v>
      </c>
      <c r="R79" t="s">
        <v>1401</v>
      </c>
      <c r="S79" t="s">
        <v>206</v>
      </c>
      <c r="T79" t="s">
        <v>49</v>
      </c>
      <c r="U79" t="s">
        <v>49</v>
      </c>
      <c r="V79" t="s">
        <v>49</v>
      </c>
      <c r="W79" t="s">
        <v>49</v>
      </c>
      <c r="X79" t="s">
        <v>49</v>
      </c>
      <c r="Y79" t="s">
        <v>49</v>
      </c>
      <c r="Z79" t="s">
        <v>49</v>
      </c>
      <c r="AA79" t="s">
        <v>49</v>
      </c>
      <c r="AB79" t="s">
        <v>49</v>
      </c>
      <c r="AC79" t="s">
        <v>49</v>
      </c>
      <c r="AD79" t="s">
        <v>49</v>
      </c>
      <c r="AE79" t="s">
        <v>49</v>
      </c>
      <c r="AF79" t="s">
        <v>49</v>
      </c>
      <c r="AG79" t="s">
        <v>49</v>
      </c>
      <c r="AH79" t="s">
        <v>49</v>
      </c>
      <c r="AI79" t="s">
        <v>49</v>
      </c>
      <c r="AJ79" t="s">
        <v>206</v>
      </c>
    </row>
    <row r="80" spans="1:36" ht="18.75" x14ac:dyDescent="0.25">
      <c r="A80" s="11">
        <f t="shared" si="2"/>
        <v>1</v>
      </c>
      <c r="B80" s="13" t="str">
        <f t="array" aca="1" ref="B80" ca="1">OFFSET(C80,,MATCH(TRUE,C80:AJ80&lt;&gt;"",0)-1)</f>
        <v>Transportation</v>
      </c>
      <c r="C80" s="8" t="s">
        <v>50</v>
      </c>
      <c r="D80" t="s">
        <v>50</v>
      </c>
      <c r="E80" t="s">
        <v>50</v>
      </c>
      <c r="F80" t="s">
        <v>207</v>
      </c>
      <c r="G80" t="s">
        <v>329</v>
      </c>
      <c r="H80" t="s">
        <v>207</v>
      </c>
      <c r="I80" t="s">
        <v>329</v>
      </c>
      <c r="J80" t="s">
        <v>207</v>
      </c>
      <c r="K80" t="s">
        <v>207</v>
      </c>
      <c r="L80" t="s">
        <v>50</v>
      </c>
      <c r="M80" t="s">
        <v>50</v>
      </c>
      <c r="N80" t="s">
        <v>207</v>
      </c>
      <c r="O80" t="s">
        <v>50</v>
      </c>
      <c r="P80" t="s">
        <v>50</v>
      </c>
      <c r="Q80" t="s">
        <v>50</v>
      </c>
      <c r="R80" t="s">
        <v>1402</v>
      </c>
      <c r="S80" t="s">
        <v>329</v>
      </c>
      <c r="T80" t="s">
        <v>50</v>
      </c>
      <c r="U80" t="s">
        <v>50</v>
      </c>
      <c r="V80" t="s">
        <v>50</v>
      </c>
      <c r="W80" t="s">
        <v>50</v>
      </c>
      <c r="X80" t="s">
        <v>50</v>
      </c>
      <c r="Y80" t="s">
        <v>50</v>
      </c>
      <c r="Z80" t="s">
        <v>50</v>
      </c>
      <c r="AA80" t="s">
        <v>50</v>
      </c>
      <c r="AB80" t="s">
        <v>50</v>
      </c>
      <c r="AC80" t="s">
        <v>50</v>
      </c>
      <c r="AD80" t="s">
        <v>50</v>
      </c>
      <c r="AE80" t="s">
        <v>50</v>
      </c>
      <c r="AF80" t="s">
        <v>50</v>
      </c>
      <c r="AG80" t="s">
        <v>50</v>
      </c>
      <c r="AH80" t="s">
        <v>50</v>
      </c>
      <c r="AI80" t="s">
        <v>50</v>
      </c>
      <c r="AJ80" t="s">
        <v>329</v>
      </c>
    </row>
    <row r="81" spans="1:36" ht="18.75" x14ac:dyDescent="0.25">
      <c r="A81" s="11">
        <f t="shared" si="2"/>
        <v>1</v>
      </c>
      <c r="B81" s="13" t="str">
        <f t="array" aca="1" ref="B81" ca="1">OFFSET(C81,,MATCH(TRUE,C81:AJ81&lt;&gt;"",0)-1)</f>
        <v>Installation</v>
      </c>
      <c r="C81" s="8" t="s">
        <v>51</v>
      </c>
      <c r="D81" t="s">
        <v>51</v>
      </c>
      <c r="E81" t="s">
        <v>51</v>
      </c>
      <c r="F81" t="s">
        <v>208</v>
      </c>
      <c r="G81" t="s">
        <v>208</v>
      </c>
      <c r="H81" t="s">
        <v>326</v>
      </c>
      <c r="I81" t="s">
        <v>208</v>
      </c>
      <c r="J81" t="s">
        <v>208</v>
      </c>
      <c r="K81" t="s">
        <v>208</v>
      </c>
      <c r="L81" t="s">
        <v>51</v>
      </c>
      <c r="M81" t="s">
        <v>51</v>
      </c>
      <c r="N81" t="s">
        <v>326</v>
      </c>
      <c r="O81" t="s">
        <v>51</v>
      </c>
      <c r="P81" t="s">
        <v>51</v>
      </c>
      <c r="Q81" t="s">
        <v>51</v>
      </c>
      <c r="R81" t="s">
        <v>51</v>
      </c>
      <c r="S81" t="s">
        <v>208</v>
      </c>
      <c r="T81" t="s">
        <v>51</v>
      </c>
      <c r="U81" t="s">
        <v>51</v>
      </c>
      <c r="V81" t="s">
        <v>51</v>
      </c>
      <c r="W81" t="s">
        <v>51</v>
      </c>
      <c r="X81" t="s">
        <v>51</v>
      </c>
      <c r="Y81" t="s">
        <v>51</v>
      </c>
      <c r="Z81" t="s">
        <v>51</v>
      </c>
      <c r="AA81" t="s">
        <v>51</v>
      </c>
      <c r="AB81" t="s">
        <v>51</v>
      </c>
      <c r="AC81" t="s">
        <v>51</v>
      </c>
      <c r="AD81" t="s">
        <v>51</v>
      </c>
      <c r="AE81" t="s">
        <v>51</v>
      </c>
      <c r="AF81" t="s">
        <v>51</v>
      </c>
      <c r="AG81" t="s">
        <v>51</v>
      </c>
      <c r="AH81" t="s">
        <v>51</v>
      </c>
      <c r="AI81" t="s">
        <v>51</v>
      </c>
      <c r="AJ81" t="s">
        <v>208</v>
      </c>
    </row>
    <row r="82" spans="1:36" ht="18.75" x14ac:dyDescent="0.25">
      <c r="A82" s="11">
        <f t="shared" si="2"/>
        <v>1</v>
      </c>
      <c r="B82" s="13" t="str">
        <f t="array" aca="1" ref="B82" ca="1">OFFSET(C82,,MATCH(TRUE,C82:AJ82&lt;&gt;"",0)-1)</f>
        <v>Connection</v>
      </c>
      <c r="C82" s="8" t="s">
        <v>52</v>
      </c>
      <c r="D82" t="s">
        <v>52</v>
      </c>
      <c r="E82" t="s">
        <v>52</v>
      </c>
      <c r="F82" t="s">
        <v>209</v>
      </c>
      <c r="G82" t="s">
        <v>330</v>
      </c>
      <c r="H82" t="s">
        <v>330</v>
      </c>
      <c r="I82" t="s">
        <v>209</v>
      </c>
      <c r="J82" t="s">
        <v>209</v>
      </c>
      <c r="K82" t="s">
        <v>209</v>
      </c>
      <c r="L82" t="s">
        <v>52</v>
      </c>
      <c r="M82" t="s">
        <v>52</v>
      </c>
      <c r="N82" t="s">
        <v>330</v>
      </c>
      <c r="O82" t="s">
        <v>52</v>
      </c>
      <c r="P82" t="s">
        <v>52</v>
      </c>
      <c r="Q82" t="s">
        <v>52</v>
      </c>
      <c r="R82" t="s">
        <v>1403</v>
      </c>
      <c r="S82" t="s">
        <v>209</v>
      </c>
      <c r="T82" t="s">
        <v>52</v>
      </c>
      <c r="U82" t="s">
        <v>52</v>
      </c>
      <c r="V82" t="s">
        <v>52</v>
      </c>
      <c r="W82" t="s">
        <v>52</v>
      </c>
      <c r="X82" t="s">
        <v>52</v>
      </c>
      <c r="Y82" t="s">
        <v>52</v>
      </c>
      <c r="Z82" t="s">
        <v>52</v>
      </c>
      <c r="AA82" t="s">
        <v>52</v>
      </c>
      <c r="AB82" t="s">
        <v>52</v>
      </c>
      <c r="AC82" t="s">
        <v>52</v>
      </c>
      <c r="AD82" t="s">
        <v>52</v>
      </c>
      <c r="AE82" t="s">
        <v>52</v>
      </c>
      <c r="AF82" t="s">
        <v>52</v>
      </c>
      <c r="AG82" t="s">
        <v>52</v>
      </c>
      <c r="AH82" t="s">
        <v>52</v>
      </c>
      <c r="AI82" t="s">
        <v>52</v>
      </c>
      <c r="AJ82" t="s">
        <v>209</v>
      </c>
    </row>
    <row r="83" spans="1:36" ht="18.75" x14ac:dyDescent="0.25">
      <c r="A83" s="11">
        <f t="shared" si="2"/>
        <v>1</v>
      </c>
      <c r="B83" s="13" t="str">
        <f t="array" aca="1" ref="B83" ca="1">OFFSET(C83,,MATCH(TRUE,C83:AJ83&lt;&gt;"",0)-1)</f>
        <v>Commissioning</v>
      </c>
      <c r="C83" s="8" t="s">
        <v>53</v>
      </c>
      <c r="D83" t="s">
        <v>53</v>
      </c>
      <c r="E83" t="s">
        <v>53</v>
      </c>
      <c r="F83" t="s">
        <v>210</v>
      </c>
      <c r="G83" t="s">
        <v>331</v>
      </c>
      <c r="H83" t="s">
        <v>331</v>
      </c>
      <c r="I83" t="s">
        <v>210</v>
      </c>
      <c r="J83" t="s">
        <v>210</v>
      </c>
      <c r="K83" t="s">
        <v>210</v>
      </c>
      <c r="L83" t="s">
        <v>53</v>
      </c>
      <c r="M83" t="s">
        <v>53</v>
      </c>
      <c r="N83" t="s">
        <v>331</v>
      </c>
      <c r="O83" t="s">
        <v>53</v>
      </c>
      <c r="P83" t="s">
        <v>53</v>
      </c>
      <c r="Q83" t="s">
        <v>53</v>
      </c>
      <c r="R83" t="s">
        <v>53</v>
      </c>
      <c r="S83" t="s">
        <v>210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53</v>
      </c>
      <c r="AA83" t="s">
        <v>53</v>
      </c>
      <c r="AB83" t="s">
        <v>53</v>
      </c>
      <c r="AC83" t="s">
        <v>53</v>
      </c>
      <c r="AD83" t="s">
        <v>53</v>
      </c>
      <c r="AE83" t="s">
        <v>53</v>
      </c>
      <c r="AF83" t="s">
        <v>53</v>
      </c>
      <c r="AG83" t="s">
        <v>53</v>
      </c>
      <c r="AH83" t="s">
        <v>53</v>
      </c>
      <c r="AI83" t="s">
        <v>53</v>
      </c>
      <c r="AJ83" t="s">
        <v>210</v>
      </c>
    </row>
    <row r="84" spans="1:36" ht="18.75" x14ac:dyDescent="0.25">
      <c r="A84" s="11">
        <f t="shared" si="2"/>
        <v>1</v>
      </c>
      <c r="B84" s="13" t="str">
        <f t="array" aca="1" ref="B84" ca="1">OFFSET(C84,,MATCH(TRUE,C84:AJ84&lt;&gt;"",0)-1)</f>
        <v>Decommissioning</v>
      </c>
      <c r="C84" s="8" t="s">
        <v>54</v>
      </c>
      <c r="D84" t="s">
        <v>54</v>
      </c>
      <c r="E84" t="s">
        <v>54</v>
      </c>
      <c r="F84" t="s">
        <v>211</v>
      </c>
      <c r="G84" t="s">
        <v>332</v>
      </c>
      <c r="H84" t="s">
        <v>332</v>
      </c>
      <c r="I84" t="s">
        <v>504</v>
      </c>
      <c r="J84" t="s">
        <v>211</v>
      </c>
      <c r="K84" t="s">
        <v>211</v>
      </c>
      <c r="L84" t="s">
        <v>54</v>
      </c>
      <c r="M84" t="s">
        <v>54</v>
      </c>
      <c r="N84" t="s">
        <v>332</v>
      </c>
      <c r="O84" t="s">
        <v>54</v>
      </c>
      <c r="P84" t="s">
        <v>54</v>
      </c>
      <c r="Q84" t="s">
        <v>54</v>
      </c>
      <c r="R84" t="s">
        <v>54</v>
      </c>
      <c r="S84" t="s">
        <v>504</v>
      </c>
      <c r="T84" t="s">
        <v>54</v>
      </c>
      <c r="U84" t="s">
        <v>54</v>
      </c>
      <c r="V84" t="s">
        <v>54</v>
      </c>
      <c r="W84" t="s">
        <v>54</v>
      </c>
      <c r="X84" t="s">
        <v>54</v>
      </c>
      <c r="Y84" t="s">
        <v>54</v>
      </c>
      <c r="Z84" t="s">
        <v>54</v>
      </c>
      <c r="AA84" t="s">
        <v>54</v>
      </c>
      <c r="AB84" t="s">
        <v>54</v>
      </c>
      <c r="AC84" t="s">
        <v>54</v>
      </c>
      <c r="AD84" t="s">
        <v>54</v>
      </c>
      <c r="AE84" t="s">
        <v>54</v>
      </c>
      <c r="AF84" t="s">
        <v>54</v>
      </c>
      <c r="AG84" t="s">
        <v>54</v>
      </c>
      <c r="AH84" t="s">
        <v>54</v>
      </c>
      <c r="AI84" t="s">
        <v>54</v>
      </c>
      <c r="AJ84" t="s">
        <v>504</v>
      </c>
    </row>
    <row r="85" spans="1:36" ht="18.75" x14ac:dyDescent="0.25">
      <c r="A85" s="11">
        <f t="shared" si="2"/>
        <v>1</v>
      </c>
      <c r="B85" s="13" t="str">
        <f t="array" aca="1" ref="B85" ca="1">OFFSET(C85,,MATCH(TRUE,C85:AJ85&lt;&gt;"",0)-1)</f>
        <v>Storage</v>
      </c>
      <c r="C85" s="8" t="s">
        <v>55</v>
      </c>
      <c r="D85" t="s">
        <v>55</v>
      </c>
      <c r="E85" t="s">
        <v>55</v>
      </c>
      <c r="F85" t="s">
        <v>212</v>
      </c>
      <c r="G85" t="s">
        <v>333</v>
      </c>
      <c r="H85" t="s">
        <v>333</v>
      </c>
      <c r="I85" t="s">
        <v>212</v>
      </c>
      <c r="J85" t="s">
        <v>212</v>
      </c>
      <c r="K85" t="s">
        <v>212</v>
      </c>
      <c r="L85" t="s">
        <v>55</v>
      </c>
      <c r="M85" t="s">
        <v>55</v>
      </c>
      <c r="N85" t="s">
        <v>333</v>
      </c>
      <c r="O85" t="s">
        <v>55</v>
      </c>
      <c r="P85" t="s">
        <v>55</v>
      </c>
      <c r="Q85" t="s">
        <v>55</v>
      </c>
      <c r="R85" t="s">
        <v>55</v>
      </c>
      <c r="S85" t="s">
        <v>212</v>
      </c>
      <c r="T85" t="s">
        <v>55</v>
      </c>
      <c r="U85" t="s">
        <v>55</v>
      </c>
      <c r="V85" t="s">
        <v>55</v>
      </c>
      <c r="W85" t="s">
        <v>55</v>
      </c>
      <c r="X85" t="s">
        <v>55</v>
      </c>
      <c r="Y85" t="s">
        <v>55</v>
      </c>
      <c r="Z85" t="s">
        <v>55</v>
      </c>
      <c r="AA85" t="s">
        <v>55</v>
      </c>
      <c r="AB85" t="s">
        <v>55</v>
      </c>
      <c r="AC85" t="s">
        <v>55</v>
      </c>
      <c r="AD85" t="s">
        <v>55</v>
      </c>
      <c r="AE85" t="s">
        <v>55</v>
      </c>
      <c r="AF85" t="s">
        <v>55</v>
      </c>
      <c r="AG85" t="s">
        <v>55</v>
      </c>
      <c r="AH85" t="s">
        <v>55</v>
      </c>
      <c r="AI85" t="s">
        <v>55</v>
      </c>
      <c r="AJ85" t="s">
        <v>212</v>
      </c>
    </row>
    <row r="86" spans="1:36" ht="18.75" x14ac:dyDescent="0.25">
      <c r="A86" s="11">
        <f t="shared" si="2"/>
        <v>1</v>
      </c>
      <c r="B86" s="13" t="str">
        <f t="array" aca="1" ref="B86" ca="1">OFFSET(C86,,MATCH(TRUE,C86:AJ86&lt;&gt;"",0)-1)</f>
        <v>Disposal</v>
      </c>
      <c r="C86" s="8" t="s">
        <v>56</v>
      </c>
      <c r="D86" t="s">
        <v>56</v>
      </c>
      <c r="E86" t="s">
        <v>56</v>
      </c>
      <c r="F86" t="s">
        <v>213</v>
      </c>
      <c r="G86" t="s">
        <v>334</v>
      </c>
      <c r="H86" t="s">
        <v>430</v>
      </c>
      <c r="I86" t="s">
        <v>254</v>
      </c>
      <c r="J86" t="s">
        <v>213</v>
      </c>
      <c r="K86" t="s">
        <v>213</v>
      </c>
      <c r="L86" t="s">
        <v>56</v>
      </c>
      <c r="M86" t="s">
        <v>56</v>
      </c>
      <c r="N86" t="s">
        <v>430</v>
      </c>
      <c r="O86" t="s">
        <v>56</v>
      </c>
      <c r="P86" t="s">
        <v>56</v>
      </c>
      <c r="Q86" t="s">
        <v>56</v>
      </c>
      <c r="R86" t="s">
        <v>56</v>
      </c>
      <c r="S86" t="s">
        <v>254</v>
      </c>
      <c r="T86" t="s">
        <v>56</v>
      </c>
      <c r="U86" t="s">
        <v>56</v>
      </c>
      <c r="V86" t="s">
        <v>56</v>
      </c>
      <c r="W86" t="s">
        <v>56</v>
      </c>
      <c r="X86" t="s">
        <v>56</v>
      </c>
      <c r="Y86" t="s">
        <v>56</v>
      </c>
      <c r="Z86" t="s">
        <v>56</v>
      </c>
      <c r="AA86" t="s">
        <v>56</v>
      </c>
      <c r="AB86" t="s">
        <v>56</v>
      </c>
      <c r="AC86" t="s">
        <v>56</v>
      </c>
      <c r="AD86" t="s">
        <v>56</v>
      </c>
      <c r="AE86" t="s">
        <v>56</v>
      </c>
      <c r="AF86" t="s">
        <v>56</v>
      </c>
      <c r="AG86" t="s">
        <v>56</v>
      </c>
      <c r="AH86" t="s">
        <v>56</v>
      </c>
      <c r="AI86" t="s">
        <v>56</v>
      </c>
      <c r="AJ86" t="s">
        <v>254</v>
      </c>
    </row>
    <row r="87" spans="1:36" ht="18.75" x14ac:dyDescent="0.25">
      <c r="A87" s="11">
        <f t="shared" si="2"/>
        <v>1</v>
      </c>
      <c r="B87" s="12" t="str">
        <f t="array" aca="1" ref="B87" ca="1">OFFSET(C87,,MATCH(TRUE,C87:AJ87&lt;&gt;"",0)-1)</f>
        <v>Operation</v>
      </c>
      <c r="C87" s="9" t="s">
        <v>57</v>
      </c>
      <c r="D87" s="5" t="s">
        <v>57</v>
      </c>
      <c r="E87" s="5" t="s">
        <v>57</v>
      </c>
      <c r="F87" s="5" t="s">
        <v>214</v>
      </c>
      <c r="G87" s="5" t="s">
        <v>335</v>
      </c>
      <c r="H87" s="5" t="s">
        <v>431</v>
      </c>
      <c r="I87" s="5" t="s">
        <v>214</v>
      </c>
      <c r="J87" s="5" t="s">
        <v>214</v>
      </c>
      <c r="K87" s="5" t="s">
        <v>214</v>
      </c>
      <c r="L87" s="5" t="s">
        <v>57</v>
      </c>
      <c r="M87" s="5" t="s">
        <v>57</v>
      </c>
      <c r="N87" s="5" t="s">
        <v>431</v>
      </c>
      <c r="O87" s="5" t="s">
        <v>57</v>
      </c>
      <c r="P87" s="5" t="s">
        <v>57</v>
      </c>
      <c r="Q87" s="5" t="s">
        <v>57</v>
      </c>
      <c r="R87" s="5" t="s">
        <v>57</v>
      </c>
      <c r="S87" s="5" t="s">
        <v>214</v>
      </c>
      <c r="T87" s="5" t="s">
        <v>57</v>
      </c>
      <c r="U87" s="5" t="s">
        <v>57</v>
      </c>
      <c r="V87" s="5" t="s">
        <v>57</v>
      </c>
      <c r="W87" s="5" t="s">
        <v>57</v>
      </c>
      <c r="X87" s="5" t="s">
        <v>57</v>
      </c>
      <c r="Y87" s="5" t="s">
        <v>57</v>
      </c>
      <c r="Z87" s="5" t="s">
        <v>57</v>
      </c>
      <c r="AA87" s="5" t="s">
        <v>57</v>
      </c>
      <c r="AB87" s="5" t="s">
        <v>57</v>
      </c>
      <c r="AC87" s="5" t="s">
        <v>57</v>
      </c>
      <c r="AD87" s="5" t="s">
        <v>57</v>
      </c>
      <c r="AE87" s="5" t="s">
        <v>57</v>
      </c>
      <c r="AF87" s="5" t="s">
        <v>57</v>
      </c>
      <c r="AG87" s="5" t="s">
        <v>57</v>
      </c>
      <c r="AH87" s="5" t="s">
        <v>57</v>
      </c>
      <c r="AI87" s="5" t="s">
        <v>57</v>
      </c>
      <c r="AJ87" s="5" t="s">
        <v>214</v>
      </c>
    </row>
    <row r="88" spans="1:36" ht="18.75" x14ac:dyDescent="0.25">
      <c r="A88" s="11">
        <f t="shared" si="2"/>
        <v>1</v>
      </c>
      <c r="B88" s="13" t="str">
        <f t="array" aca="1" ref="B88" ca="1">OFFSET(C88,,MATCH(TRUE,C88:AJ88&lt;&gt;"",0)-1)</f>
        <v>Safety instructions</v>
      </c>
      <c r="C88" s="8" t="s">
        <v>48</v>
      </c>
      <c r="D88" t="s">
        <v>48</v>
      </c>
      <c r="E88" t="s">
        <v>48</v>
      </c>
      <c r="F88" t="s">
        <v>205</v>
      </c>
      <c r="G88" t="s">
        <v>327</v>
      </c>
      <c r="H88" t="s">
        <v>327</v>
      </c>
      <c r="I88" t="s">
        <v>503</v>
      </c>
      <c r="J88" t="s">
        <v>205</v>
      </c>
      <c r="K88" t="s">
        <v>205</v>
      </c>
      <c r="L88" t="s">
        <v>48</v>
      </c>
      <c r="M88" s="4" t="s">
        <v>48</v>
      </c>
      <c r="N88" t="s">
        <v>327</v>
      </c>
      <c r="O88" t="s">
        <v>48</v>
      </c>
      <c r="P88" t="s">
        <v>48</v>
      </c>
      <c r="Q88" t="s">
        <v>48</v>
      </c>
      <c r="R88" t="s">
        <v>48</v>
      </c>
      <c r="S88" t="s">
        <v>503</v>
      </c>
      <c r="T88" t="s">
        <v>48</v>
      </c>
      <c r="U88" t="s">
        <v>48</v>
      </c>
      <c r="V88" t="s">
        <v>48</v>
      </c>
      <c r="W88" t="s">
        <v>48</v>
      </c>
      <c r="X88" t="s">
        <v>48</v>
      </c>
      <c r="Y88" t="s">
        <v>48</v>
      </c>
      <c r="Z88" t="s">
        <v>48</v>
      </c>
      <c r="AA88" t="s">
        <v>48</v>
      </c>
      <c r="AB88" t="s">
        <v>48</v>
      </c>
      <c r="AC88" t="s">
        <v>48</v>
      </c>
      <c r="AD88" t="s">
        <v>48</v>
      </c>
      <c r="AE88" t="s">
        <v>48</v>
      </c>
      <c r="AF88" t="s">
        <v>48</v>
      </c>
      <c r="AG88" t="s">
        <v>48</v>
      </c>
      <c r="AH88" t="s">
        <v>48</v>
      </c>
      <c r="AI88" t="s">
        <v>48</v>
      </c>
      <c r="AJ88" t="s">
        <v>503</v>
      </c>
    </row>
    <row r="89" spans="1:36" ht="18.75" x14ac:dyDescent="0.25">
      <c r="A89" s="11">
        <f t="shared" si="2"/>
        <v>1</v>
      </c>
      <c r="B89" s="13" t="str">
        <f t="array" aca="1" ref="B89" ca="1">OFFSET(C89,,MATCH(TRUE,C89:AJ89&lt;&gt;"",0)-1)</f>
        <v>Safety equipment</v>
      </c>
      <c r="C89" s="8" t="s">
        <v>17</v>
      </c>
      <c r="D89" t="s">
        <v>17</v>
      </c>
      <c r="E89" t="s">
        <v>17</v>
      </c>
      <c r="F89" t="s">
        <v>171</v>
      </c>
      <c r="G89" t="s">
        <v>295</v>
      </c>
      <c r="H89" t="s">
        <v>295</v>
      </c>
      <c r="I89" t="s">
        <v>171</v>
      </c>
      <c r="J89" t="s">
        <v>171</v>
      </c>
      <c r="K89" t="s">
        <v>171</v>
      </c>
      <c r="L89" t="s">
        <v>17</v>
      </c>
      <c r="M89" t="s">
        <v>17</v>
      </c>
      <c r="N89" t="s">
        <v>295</v>
      </c>
      <c r="O89" t="s">
        <v>17</v>
      </c>
      <c r="P89" t="s">
        <v>17</v>
      </c>
      <c r="Q89" t="s">
        <v>17</v>
      </c>
      <c r="R89" t="s">
        <v>17</v>
      </c>
      <c r="S89" t="s">
        <v>171</v>
      </c>
      <c r="T89" t="s">
        <v>17</v>
      </c>
      <c r="U89" t="s">
        <v>17</v>
      </c>
      <c r="V89" t="s">
        <v>17</v>
      </c>
      <c r="W89" t="s">
        <v>17</v>
      </c>
      <c r="X89" t="s">
        <v>17</v>
      </c>
      <c r="Y89" t="s">
        <v>17</v>
      </c>
      <c r="Z89" t="s">
        <v>17</v>
      </c>
      <c r="AA89" t="s">
        <v>17</v>
      </c>
      <c r="AB89" t="s">
        <v>17</v>
      </c>
      <c r="AC89" t="s">
        <v>17</v>
      </c>
      <c r="AD89" t="s">
        <v>17</v>
      </c>
      <c r="AE89" t="s">
        <v>17</v>
      </c>
      <c r="AF89" t="s">
        <v>17</v>
      </c>
      <c r="AG89" t="s">
        <v>17</v>
      </c>
      <c r="AH89" t="s">
        <v>17</v>
      </c>
      <c r="AI89" t="s">
        <v>17</v>
      </c>
      <c r="AJ89" t="s">
        <v>171</v>
      </c>
    </row>
    <row r="90" spans="1:36" ht="18.75" x14ac:dyDescent="0.25">
      <c r="A90" s="11">
        <f t="shared" si="2"/>
        <v>1</v>
      </c>
      <c r="B90" s="13" t="str">
        <f t="array" aca="1" ref="B90" ca="1">OFFSET(C90,,MATCH(TRUE,C90:AJ90&lt;&gt;"",0)-1)</f>
        <v>Emergency stop switch</v>
      </c>
      <c r="C90" s="8" t="s">
        <v>58</v>
      </c>
      <c r="D90" t="s">
        <v>58</v>
      </c>
      <c r="E90" t="s">
        <v>58</v>
      </c>
      <c r="F90" t="s">
        <v>215</v>
      </c>
      <c r="G90" t="s">
        <v>336</v>
      </c>
      <c r="H90" t="s">
        <v>336</v>
      </c>
      <c r="I90" t="s">
        <v>505</v>
      </c>
      <c r="J90" t="s">
        <v>215</v>
      </c>
      <c r="K90" t="s">
        <v>215</v>
      </c>
      <c r="L90" t="s">
        <v>58</v>
      </c>
      <c r="M90" t="s">
        <v>58</v>
      </c>
      <c r="N90" t="s">
        <v>336</v>
      </c>
      <c r="O90" t="s">
        <v>58</v>
      </c>
      <c r="P90" t="s">
        <v>58</v>
      </c>
      <c r="Q90" t="s">
        <v>58</v>
      </c>
      <c r="R90" t="s">
        <v>58</v>
      </c>
      <c r="S90" t="s">
        <v>505</v>
      </c>
      <c r="T90" t="s">
        <v>58</v>
      </c>
      <c r="U90" t="s">
        <v>58</v>
      </c>
      <c r="V90" t="s">
        <v>58</v>
      </c>
      <c r="W90" t="s">
        <v>58</v>
      </c>
      <c r="X90" t="s">
        <v>58</v>
      </c>
      <c r="Y90" t="s">
        <v>58</v>
      </c>
      <c r="Z90" t="s">
        <v>58</v>
      </c>
      <c r="AA90" t="s">
        <v>58</v>
      </c>
      <c r="AB90" t="s">
        <v>58</v>
      </c>
      <c r="AC90" t="s">
        <v>58</v>
      </c>
      <c r="AD90" t="s">
        <v>58</v>
      </c>
      <c r="AE90" t="s">
        <v>58</v>
      </c>
      <c r="AF90" t="s">
        <v>58</v>
      </c>
      <c r="AG90" t="s">
        <v>58</v>
      </c>
      <c r="AH90" t="s">
        <v>58</v>
      </c>
      <c r="AI90" t="s">
        <v>58</v>
      </c>
      <c r="AJ90" t="s">
        <v>505</v>
      </c>
    </row>
    <row r="91" spans="1:36" ht="18.75" x14ac:dyDescent="0.25">
      <c r="A91" s="11">
        <f t="shared" si="2"/>
        <v>1</v>
      </c>
      <c r="B91" s="13" t="str">
        <f t="array" aca="1" ref="B91" ca="1">OFFSET(C91,,MATCH(TRUE,C91:AJ91&lt;&gt;"",0)-1)</f>
        <v>Signaling equipment</v>
      </c>
      <c r="C91" s="8" t="s">
        <v>38</v>
      </c>
      <c r="D91" t="s">
        <v>38</v>
      </c>
      <c r="E91" t="s">
        <v>38</v>
      </c>
      <c r="F91" t="s">
        <v>189</v>
      </c>
      <c r="G91" t="s">
        <v>189</v>
      </c>
      <c r="H91" t="s">
        <v>422</v>
      </c>
      <c r="I91" t="s">
        <v>189</v>
      </c>
      <c r="J91" t="s">
        <v>189</v>
      </c>
      <c r="K91" t="s">
        <v>189</v>
      </c>
      <c r="L91" t="s">
        <v>38</v>
      </c>
      <c r="M91" t="s">
        <v>38</v>
      </c>
      <c r="N91" t="s">
        <v>422</v>
      </c>
      <c r="O91" t="s">
        <v>38</v>
      </c>
      <c r="P91" t="s">
        <v>38</v>
      </c>
      <c r="Q91" t="s">
        <v>38</v>
      </c>
      <c r="R91" t="s">
        <v>1397</v>
      </c>
      <c r="S91" t="s">
        <v>189</v>
      </c>
      <c r="T91" t="s">
        <v>38</v>
      </c>
      <c r="U91" t="s">
        <v>38</v>
      </c>
      <c r="V91" t="s">
        <v>38</v>
      </c>
      <c r="W91" t="s">
        <v>38</v>
      </c>
      <c r="X91" t="s">
        <v>38</v>
      </c>
      <c r="Y91" t="s">
        <v>38</v>
      </c>
      <c r="Z91" t="s">
        <v>38</v>
      </c>
      <c r="AA91" t="s">
        <v>38</v>
      </c>
      <c r="AB91" t="s">
        <v>38</v>
      </c>
      <c r="AC91" t="s">
        <v>38</v>
      </c>
      <c r="AD91" t="s">
        <v>38</v>
      </c>
      <c r="AE91" t="s">
        <v>38</v>
      </c>
      <c r="AF91" t="s">
        <v>38</v>
      </c>
      <c r="AG91" t="s">
        <v>38</v>
      </c>
      <c r="AH91" t="s">
        <v>38</v>
      </c>
      <c r="AI91" t="s">
        <v>38</v>
      </c>
      <c r="AJ91" t="s">
        <v>189</v>
      </c>
    </row>
    <row r="92" spans="1:36" ht="18.75" x14ac:dyDescent="0.25">
      <c r="A92" s="11">
        <f t="shared" si="2"/>
        <v>1</v>
      </c>
      <c r="B92" s="13" t="str">
        <f t="array" aca="1" ref="B92" ca="1">OFFSET(C92,,MATCH(TRUE,C92:AJ92&lt;&gt;"",0)-1)</f>
        <v>Signal lamp</v>
      </c>
      <c r="C92" s="8" t="s">
        <v>59</v>
      </c>
      <c r="D92" t="s">
        <v>59</v>
      </c>
      <c r="E92" t="s">
        <v>59</v>
      </c>
      <c r="F92" t="s">
        <v>216</v>
      </c>
      <c r="G92" t="s">
        <v>337</v>
      </c>
      <c r="H92" t="s">
        <v>432</v>
      </c>
      <c r="I92" t="s">
        <v>506</v>
      </c>
      <c r="J92" t="s">
        <v>216</v>
      </c>
      <c r="K92" t="s">
        <v>565</v>
      </c>
      <c r="L92" t="s">
        <v>59</v>
      </c>
      <c r="M92" t="s">
        <v>59</v>
      </c>
      <c r="N92" t="s">
        <v>432</v>
      </c>
      <c r="O92" t="s">
        <v>59</v>
      </c>
      <c r="P92" t="s">
        <v>59</v>
      </c>
      <c r="Q92" t="s">
        <v>59</v>
      </c>
      <c r="R92" t="s">
        <v>59</v>
      </c>
      <c r="S92" t="s">
        <v>506</v>
      </c>
      <c r="T92" t="s">
        <v>59</v>
      </c>
      <c r="U92" t="s">
        <v>59</v>
      </c>
      <c r="V92" t="s">
        <v>59</v>
      </c>
      <c r="W92" t="s">
        <v>59</v>
      </c>
      <c r="X92" t="s">
        <v>59</v>
      </c>
      <c r="Y92" t="s">
        <v>59</v>
      </c>
      <c r="Z92" t="s">
        <v>59</v>
      </c>
      <c r="AA92" t="s">
        <v>59</v>
      </c>
      <c r="AB92" t="s">
        <v>59</v>
      </c>
      <c r="AC92" t="s">
        <v>59</v>
      </c>
      <c r="AD92" t="s">
        <v>59</v>
      </c>
      <c r="AE92" t="s">
        <v>59</v>
      </c>
      <c r="AF92" t="s">
        <v>59</v>
      </c>
      <c r="AG92" t="s">
        <v>59</v>
      </c>
      <c r="AH92" t="s">
        <v>59</v>
      </c>
      <c r="AI92" t="s">
        <v>59</v>
      </c>
      <c r="AJ92" t="s">
        <v>506</v>
      </c>
    </row>
    <row r="93" spans="1:36" ht="18.75" x14ac:dyDescent="0.25">
      <c r="A93" s="11">
        <f t="shared" si="2"/>
        <v>1</v>
      </c>
      <c r="B93" s="13" t="str">
        <f t="array" aca="1" ref="B93" ca="1">OFFSET(C93,,MATCH(TRUE,C93:AJ93&lt;&gt;"",0)-1)</f>
        <v>Signal horn</v>
      </c>
      <c r="C93" s="8" t="s">
        <v>60</v>
      </c>
      <c r="D93" t="s">
        <v>60</v>
      </c>
      <c r="E93" t="s">
        <v>60</v>
      </c>
      <c r="F93" t="s">
        <v>217</v>
      </c>
      <c r="G93" t="s">
        <v>338</v>
      </c>
      <c r="H93" t="s">
        <v>338</v>
      </c>
      <c r="I93" t="s">
        <v>507</v>
      </c>
      <c r="J93" t="s">
        <v>217</v>
      </c>
      <c r="K93" t="s">
        <v>217</v>
      </c>
      <c r="L93" t="s">
        <v>60</v>
      </c>
      <c r="M93" t="s">
        <v>60</v>
      </c>
      <c r="N93" t="s">
        <v>338</v>
      </c>
      <c r="O93" t="s">
        <v>60</v>
      </c>
      <c r="P93" t="s">
        <v>60</v>
      </c>
      <c r="Q93" t="s">
        <v>60</v>
      </c>
      <c r="R93" t="s">
        <v>60</v>
      </c>
      <c r="S93" t="s">
        <v>507</v>
      </c>
      <c r="T93" t="s">
        <v>60</v>
      </c>
      <c r="U93" t="s">
        <v>60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A93" t="s">
        <v>60</v>
      </c>
      <c r="AB93" t="s">
        <v>60</v>
      </c>
      <c r="AC93" t="s">
        <v>60</v>
      </c>
      <c r="AD93" t="s">
        <v>60</v>
      </c>
      <c r="AE93" t="s">
        <v>60</v>
      </c>
      <c r="AF93" t="s">
        <v>60</v>
      </c>
      <c r="AG93" t="s">
        <v>60</v>
      </c>
      <c r="AH93" t="s">
        <v>60</v>
      </c>
      <c r="AI93" t="s">
        <v>60</v>
      </c>
      <c r="AJ93" t="s">
        <v>507</v>
      </c>
    </row>
    <row r="94" spans="1:36" ht="18.75" x14ac:dyDescent="0.25">
      <c r="A94" s="11">
        <f t="shared" si="2"/>
        <v>1</v>
      </c>
      <c r="B94" s="13" t="str">
        <f t="array" aca="1" ref="B94" ca="1">OFFSET(C94,,MATCH(TRUE,C94:AJ94&lt;&gt;"",0)-1)</f>
        <v>Operating controls</v>
      </c>
      <c r="C94" s="8" t="s">
        <v>39</v>
      </c>
      <c r="D94" t="s">
        <v>39</v>
      </c>
      <c r="E94" t="s">
        <v>39</v>
      </c>
      <c r="F94" t="s">
        <v>190</v>
      </c>
      <c r="G94" t="s">
        <v>313</v>
      </c>
      <c r="H94" t="s">
        <v>423</v>
      </c>
      <c r="I94" t="s">
        <v>190</v>
      </c>
      <c r="J94" t="s">
        <v>190</v>
      </c>
      <c r="K94" t="s">
        <v>190</v>
      </c>
      <c r="L94" t="s">
        <v>39</v>
      </c>
      <c r="M94" t="s">
        <v>39</v>
      </c>
      <c r="N94" t="s">
        <v>423</v>
      </c>
      <c r="O94" t="s">
        <v>39</v>
      </c>
      <c r="P94" t="s">
        <v>39</v>
      </c>
      <c r="Q94" t="s">
        <v>39</v>
      </c>
      <c r="R94" t="s">
        <v>39</v>
      </c>
      <c r="S94" t="s">
        <v>190</v>
      </c>
      <c r="T94" t="s">
        <v>39</v>
      </c>
      <c r="U94" t="s">
        <v>39</v>
      </c>
      <c r="V94" t="s">
        <v>39</v>
      </c>
      <c r="W94" t="s">
        <v>39</v>
      </c>
      <c r="X94" t="s">
        <v>39</v>
      </c>
      <c r="Y94" t="s">
        <v>39</v>
      </c>
      <c r="Z94" t="s">
        <v>39</v>
      </c>
      <c r="AA94" t="s">
        <v>39</v>
      </c>
      <c r="AB94" t="s">
        <v>39</v>
      </c>
      <c r="AC94" t="s">
        <v>39</v>
      </c>
      <c r="AD94" t="s">
        <v>39</v>
      </c>
      <c r="AE94" t="s">
        <v>39</v>
      </c>
      <c r="AF94" t="s">
        <v>39</v>
      </c>
      <c r="AG94" t="s">
        <v>39</v>
      </c>
      <c r="AH94" t="s">
        <v>39</v>
      </c>
      <c r="AI94" t="s">
        <v>39</v>
      </c>
      <c r="AJ94" t="s">
        <v>190</v>
      </c>
    </row>
    <row r="95" spans="1:36" ht="18.75" x14ac:dyDescent="0.25">
      <c r="A95" s="11">
        <f t="shared" si="2"/>
        <v>2.9411764705882359E-2</v>
      </c>
      <c r="B95" s="13" t="str">
        <f t="array" aca="1" ref="B95" ca="1">OFFSET(C95,,MATCH(TRUE,C95:AJ95&lt;&gt;"",0)-1)</f>
        <v>PlantiT process control system</v>
      </c>
      <c r="O95" t="s">
        <v>1376</v>
      </c>
    </row>
    <row r="96" spans="1:36" ht="18.75" x14ac:dyDescent="0.25">
      <c r="A96" s="11">
        <f t="shared" si="2"/>
        <v>2.9411764705882359E-2</v>
      </c>
      <c r="B96" s="13" t="str">
        <f t="array" aca="1" ref="B96" ca="1">OFFSET(C96,,MATCH(TRUE,C96:AJ96&lt;&gt;"",0)-1)</f>
        <v>Keypad</v>
      </c>
      <c r="O96" t="s">
        <v>62</v>
      </c>
    </row>
    <row r="97" spans="1:36" ht="18.75" x14ac:dyDescent="0.25">
      <c r="A97" s="11">
        <f t="shared" si="2"/>
        <v>0.11764705882352944</v>
      </c>
      <c r="B97" s="13" t="str">
        <f t="array" aca="1" ref="B97" ca="1">OFFSET(C97,,MATCH(TRUE,C97:AJ97&lt;&gt;"",0)-1)</f>
        <v>Operator console</v>
      </c>
      <c r="C97" s="8" t="s">
        <v>61</v>
      </c>
      <c r="I97" t="s">
        <v>508</v>
      </c>
      <c r="Z97" t="s">
        <v>61</v>
      </c>
      <c r="AC97" t="s">
        <v>61</v>
      </c>
    </row>
    <row r="98" spans="1:36" ht="18.75" x14ac:dyDescent="0.25">
      <c r="A98" s="11">
        <f t="shared" si="2"/>
        <v>2.9411764705882359E-2</v>
      </c>
      <c r="B98" s="13" t="str">
        <f t="array" aca="1" ref="B98" ca="1">OFFSET(C98,,MATCH(TRUE,C98:AJ98&lt;&gt;"",0)-1)</f>
        <v>Botões</v>
      </c>
      <c r="I98" t="s">
        <v>509</v>
      </c>
    </row>
    <row r="99" spans="1:36" ht="18.75" x14ac:dyDescent="0.25">
      <c r="A99" s="11">
        <f t="shared" si="2"/>
        <v>0.20588235294117652</v>
      </c>
      <c r="B99" s="13" t="str">
        <f t="array" aca="1" ref="B99" ca="1">OFFSET(C99,,MATCH(TRUE,C99:AJ99&lt;&gt;"",0)-1)</f>
        <v>[ReDiS] key switch</v>
      </c>
      <c r="C99" s="8"/>
      <c r="E99" t="s">
        <v>144</v>
      </c>
      <c r="H99" t="s">
        <v>433</v>
      </c>
      <c r="L99" t="s">
        <v>144</v>
      </c>
      <c r="M99" t="s">
        <v>144</v>
      </c>
      <c r="N99" t="s">
        <v>433</v>
      </c>
      <c r="P99" t="s">
        <v>144</v>
      </c>
      <c r="Q99" t="s">
        <v>144</v>
      </c>
    </row>
    <row r="100" spans="1:36" ht="18.75" x14ac:dyDescent="0.25">
      <c r="A100" s="11">
        <f t="shared" si="2"/>
        <v>8.8235294117647078E-2</v>
      </c>
      <c r="B100" s="13" t="str">
        <f t="array" aca="1" ref="B100" ca="1">OFFSET(C100,,MATCH(TRUE,C100:AJ100&lt;&gt;"",0)-1)</f>
        <v>Keypad</v>
      </c>
      <c r="C100" s="8" t="s">
        <v>62</v>
      </c>
      <c r="Z100" t="s">
        <v>62</v>
      </c>
      <c r="AC100" t="s">
        <v>62</v>
      </c>
    </row>
    <row r="101" spans="1:36" ht="18.75" x14ac:dyDescent="0.25">
      <c r="A101" s="11">
        <f t="shared" si="2"/>
        <v>1</v>
      </c>
      <c r="B101" s="13" t="str">
        <f t="array" aca="1" ref="B101" ca="1">OFFSET(C101,,MATCH(TRUE,C101:AJ101&lt;&gt;"",0)-1)</f>
        <v>Main switch</v>
      </c>
      <c r="C101" s="8" t="s">
        <v>63</v>
      </c>
      <c r="D101" t="s">
        <v>63</v>
      </c>
      <c r="E101" t="s">
        <v>63</v>
      </c>
      <c r="F101" t="s">
        <v>218</v>
      </c>
      <c r="G101" t="s">
        <v>218</v>
      </c>
      <c r="H101" t="s">
        <v>218</v>
      </c>
      <c r="I101" t="s">
        <v>218</v>
      </c>
      <c r="J101" t="s">
        <v>218</v>
      </c>
      <c r="K101" t="s">
        <v>218</v>
      </c>
      <c r="L101" t="s">
        <v>63</v>
      </c>
      <c r="M101" t="s">
        <v>63</v>
      </c>
      <c r="N101" t="s">
        <v>218</v>
      </c>
      <c r="O101" t="s">
        <v>63</v>
      </c>
      <c r="P101" t="s">
        <v>63</v>
      </c>
      <c r="Q101" t="s">
        <v>63</v>
      </c>
      <c r="R101" t="s">
        <v>63</v>
      </c>
      <c r="S101" t="s">
        <v>218</v>
      </c>
      <c r="T101" t="s">
        <v>63</v>
      </c>
      <c r="U101" t="s">
        <v>63</v>
      </c>
      <c r="V101" t="s">
        <v>63</v>
      </c>
      <c r="W101" t="s">
        <v>63</v>
      </c>
      <c r="X101" t="s">
        <v>63</v>
      </c>
      <c r="Y101" t="s">
        <v>63</v>
      </c>
      <c r="Z101" t="s">
        <v>63</v>
      </c>
      <c r="AA101" t="s">
        <v>63</v>
      </c>
      <c r="AB101" t="s">
        <v>63</v>
      </c>
      <c r="AC101" t="s">
        <v>63</v>
      </c>
      <c r="AD101" t="s">
        <v>63</v>
      </c>
      <c r="AE101" t="s">
        <v>63</v>
      </c>
      <c r="AF101" t="s">
        <v>63</v>
      </c>
      <c r="AG101" t="s">
        <v>63</v>
      </c>
      <c r="AH101" t="s">
        <v>63</v>
      </c>
      <c r="AI101" t="s">
        <v>63</v>
      </c>
      <c r="AJ101" t="s">
        <v>218</v>
      </c>
    </row>
    <row r="102" spans="1:36" ht="18.75" x14ac:dyDescent="0.25">
      <c r="A102" s="11">
        <f t="shared" si="2"/>
        <v>1</v>
      </c>
      <c r="B102" s="13" t="str">
        <f t="array" aca="1" ref="B102" ca="1">OFFSET(C102,,MATCH(TRUE,C102:AJ102&lt;&gt;"",0)-1)</f>
        <v>Manual shut-off valves</v>
      </c>
      <c r="C102" s="8" t="s">
        <v>64</v>
      </c>
      <c r="D102" t="s">
        <v>64</v>
      </c>
      <c r="E102" t="s">
        <v>64</v>
      </c>
      <c r="F102" t="s">
        <v>219</v>
      </c>
      <c r="G102" t="s">
        <v>339</v>
      </c>
      <c r="H102" t="s">
        <v>339</v>
      </c>
      <c r="I102" t="s">
        <v>219</v>
      </c>
      <c r="J102" t="s">
        <v>219</v>
      </c>
      <c r="K102" t="s">
        <v>219</v>
      </c>
      <c r="L102" t="s">
        <v>64</v>
      </c>
      <c r="M102" t="s">
        <v>64</v>
      </c>
      <c r="N102" t="s">
        <v>339</v>
      </c>
      <c r="O102" t="s">
        <v>64</v>
      </c>
      <c r="P102" t="s">
        <v>64</v>
      </c>
      <c r="Q102" t="s">
        <v>64</v>
      </c>
      <c r="R102" t="s">
        <v>64</v>
      </c>
      <c r="S102" t="s">
        <v>219</v>
      </c>
      <c r="T102" t="s">
        <v>64</v>
      </c>
      <c r="U102" t="s">
        <v>64</v>
      </c>
      <c r="V102" t="s">
        <v>64</v>
      </c>
      <c r="W102" t="s">
        <v>64</v>
      </c>
      <c r="X102" t="s">
        <v>64</v>
      </c>
      <c r="Y102" t="s">
        <v>64</v>
      </c>
      <c r="Z102" t="s">
        <v>64</v>
      </c>
      <c r="AA102" t="s">
        <v>64</v>
      </c>
      <c r="AB102" t="s">
        <v>64</v>
      </c>
      <c r="AC102" t="s">
        <v>64</v>
      </c>
      <c r="AD102" t="s">
        <v>64</v>
      </c>
      <c r="AE102" t="s">
        <v>64</v>
      </c>
      <c r="AF102" t="s">
        <v>64</v>
      </c>
      <c r="AG102" t="s">
        <v>64</v>
      </c>
      <c r="AH102" t="s">
        <v>64</v>
      </c>
      <c r="AI102" t="s">
        <v>64</v>
      </c>
      <c r="AJ102" t="s">
        <v>219</v>
      </c>
    </row>
    <row r="103" spans="1:36" ht="18.75" x14ac:dyDescent="0.25">
      <c r="A103" s="11">
        <f t="shared" si="2"/>
        <v>0.3529411764705882</v>
      </c>
      <c r="B103" s="13" t="str">
        <f t="array" aca="1" ref="B103" ca="1">OFFSET(C103,,MATCH(TRUE,C103:AJ103&lt;&gt;"",0)-1)</f>
        <v>Distributor</v>
      </c>
      <c r="C103" s="8"/>
      <c r="E103" t="s">
        <v>145</v>
      </c>
      <c r="G103" t="s">
        <v>340</v>
      </c>
      <c r="H103" t="s">
        <v>340</v>
      </c>
      <c r="I103" t="s">
        <v>340</v>
      </c>
      <c r="L103" t="s">
        <v>145</v>
      </c>
      <c r="M103" t="s">
        <v>145</v>
      </c>
      <c r="N103" t="s">
        <v>340</v>
      </c>
      <c r="P103" t="s">
        <v>145</v>
      </c>
      <c r="U103" t="s">
        <v>145</v>
      </c>
      <c r="V103" t="s">
        <v>145</v>
      </c>
      <c r="X103" t="s">
        <v>145</v>
      </c>
      <c r="AH103" t="s">
        <v>145</v>
      </c>
    </row>
    <row r="104" spans="1:36" ht="18.75" x14ac:dyDescent="0.25">
      <c r="A104" s="11">
        <f t="shared" si="2"/>
        <v>2.9411764705882359E-2</v>
      </c>
      <c r="B104" s="13" t="str">
        <f t="array" aca="1" ref="B104" ca="1">OFFSET(C104,,MATCH(TRUE,C104:AJ104&lt;&gt;"",0)-1)</f>
        <v>CIP distributor</v>
      </c>
      <c r="U104" t="s">
        <v>1434</v>
      </c>
    </row>
    <row r="105" spans="1:36" ht="18.75" x14ac:dyDescent="0.25">
      <c r="A105" s="11">
        <f t="shared" si="2"/>
        <v>0.32352941176470584</v>
      </c>
      <c r="B105" s="13" t="str">
        <f t="array" aca="1" ref="B105" ca="1">OFFSET(C105,,MATCH(TRUE,C105:AJ105&lt;&gt;"",0)-1)</f>
        <v>Distributor in the media feed</v>
      </c>
      <c r="C105" s="8"/>
      <c r="E105" t="s">
        <v>146</v>
      </c>
      <c r="G105" t="s">
        <v>341</v>
      </c>
      <c r="H105" t="s">
        <v>434</v>
      </c>
      <c r="L105" t="s">
        <v>146</v>
      </c>
      <c r="M105" t="s">
        <v>146</v>
      </c>
      <c r="N105" t="s">
        <v>434</v>
      </c>
      <c r="P105" t="s">
        <v>146</v>
      </c>
      <c r="U105" t="s">
        <v>1435</v>
      </c>
      <c r="V105" t="s">
        <v>146</v>
      </c>
      <c r="X105" t="s">
        <v>146</v>
      </c>
      <c r="AH105" t="s">
        <v>146</v>
      </c>
    </row>
    <row r="106" spans="1:36" ht="18.75" x14ac:dyDescent="0.25">
      <c r="A106" s="11">
        <f t="shared" si="2"/>
        <v>2.9411764705882359E-2</v>
      </c>
      <c r="B106" s="13" t="str">
        <f t="array" aca="1" ref="B106" ca="1">OFFSET(C106,,MATCH(TRUE,C106:AJ106&lt;&gt;"",0)-1)</f>
        <v>Seletor na limpeza dos camiões cisterna</v>
      </c>
      <c r="C106" s="8"/>
      <c r="I106" t="s">
        <v>510</v>
      </c>
    </row>
    <row r="107" spans="1:36" ht="18.75" x14ac:dyDescent="0.25">
      <c r="A107" s="11">
        <f t="shared" si="2"/>
        <v>1</v>
      </c>
      <c r="B107" s="13" t="str">
        <f t="array" aca="1" ref="B107" ca="1">OFFSET(C107,,MATCH(TRUE,C107:AJ107&lt;&gt;"",0)-1)</f>
        <v>Preparing for operation</v>
      </c>
      <c r="C107" s="8" t="s">
        <v>65</v>
      </c>
      <c r="D107" t="s">
        <v>65</v>
      </c>
      <c r="E107" t="s">
        <v>65</v>
      </c>
      <c r="F107" t="s">
        <v>220</v>
      </c>
      <c r="G107" t="s">
        <v>342</v>
      </c>
      <c r="H107" t="s">
        <v>435</v>
      </c>
      <c r="I107" t="s">
        <v>511</v>
      </c>
      <c r="J107" t="s">
        <v>220</v>
      </c>
      <c r="K107" t="s">
        <v>220</v>
      </c>
      <c r="L107" t="s">
        <v>65</v>
      </c>
      <c r="M107" t="s">
        <v>65</v>
      </c>
      <c r="N107" t="s">
        <v>435</v>
      </c>
      <c r="O107" t="s">
        <v>65</v>
      </c>
      <c r="P107" t="s">
        <v>65</v>
      </c>
      <c r="Q107" t="s">
        <v>65</v>
      </c>
      <c r="R107" t="s">
        <v>65</v>
      </c>
      <c r="S107" t="s">
        <v>1424</v>
      </c>
      <c r="T107" t="s">
        <v>65</v>
      </c>
      <c r="U107" t="s">
        <v>65</v>
      </c>
      <c r="V107" t="s">
        <v>65</v>
      </c>
      <c r="W107" t="s">
        <v>65</v>
      </c>
      <c r="X107" t="s">
        <v>65</v>
      </c>
      <c r="Y107" t="s">
        <v>65</v>
      </c>
      <c r="Z107" t="s">
        <v>65</v>
      </c>
      <c r="AA107" t="s">
        <v>65</v>
      </c>
      <c r="AB107" t="s">
        <v>65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1424</v>
      </c>
    </row>
    <row r="108" spans="1:36" ht="18.75" x14ac:dyDescent="0.25">
      <c r="A108" s="11">
        <f t="shared" si="2"/>
        <v>1</v>
      </c>
      <c r="B108" s="13" t="str">
        <f t="array" aca="1" ref="B108" ca="1">OFFSET(C108,,MATCH(TRUE,C108:AJ108&lt;&gt;"",0)-1)</f>
        <v>Opening and setting the control air supply</v>
      </c>
      <c r="C108" s="8" t="s">
        <v>66</v>
      </c>
      <c r="D108" t="s">
        <v>66</v>
      </c>
      <c r="E108" t="s">
        <v>66</v>
      </c>
      <c r="F108" t="s">
        <v>221</v>
      </c>
      <c r="G108" t="s">
        <v>343</v>
      </c>
      <c r="H108" t="s">
        <v>436</v>
      </c>
      <c r="I108" t="s">
        <v>512</v>
      </c>
      <c r="J108" t="s">
        <v>221</v>
      </c>
      <c r="K108" t="s">
        <v>566</v>
      </c>
      <c r="L108" t="s">
        <v>66</v>
      </c>
      <c r="M108" t="s">
        <v>66</v>
      </c>
      <c r="N108" t="s">
        <v>436</v>
      </c>
      <c r="O108" t="s">
        <v>66</v>
      </c>
      <c r="P108" t="s">
        <v>66</v>
      </c>
      <c r="Q108" t="s">
        <v>66</v>
      </c>
      <c r="R108" t="s">
        <v>66</v>
      </c>
      <c r="S108" t="s">
        <v>512</v>
      </c>
      <c r="T108" t="s">
        <v>66</v>
      </c>
      <c r="U108" t="s">
        <v>66</v>
      </c>
      <c r="V108" t="s">
        <v>66</v>
      </c>
      <c r="W108" t="s">
        <v>66</v>
      </c>
      <c r="X108" t="s">
        <v>66</v>
      </c>
      <c r="Y108" t="s">
        <v>66</v>
      </c>
      <c r="Z108" t="s">
        <v>66</v>
      </c>
      <c r="AA108" t="s">
        <v>66</v>
      </c>
      <c r="AB108" t="s">
        <v>66</v>
      </c>
      <c r="AC108" t="s">
        <v>66</v>
      </c>
      <c r="AD108" t="s">
        <v>66</v>
      </c>
      <c r="AE108" t="s">
        <v>66</v>
      </c>
      <c r="AF108" t="s">
        <v>66</v>
      </c>
      <c r="AG108" t="s">
        <v>66</v>
      </c>
      <c r="AH108" t="s">
        <v>66</v>
      </c>
      <c r="AI108" t="s">
        <v>66</v>
      </c>
      <c r="AJ108" t="s">
        <v>512</v>
      </c>
    </row>
    <row r="109" spans="1:36" ht="18.75" x14ac:dyDescent="0.25">
      <c r="A109" s="11">
        <f t="shared" si="2"/>
        <v>1</v>
      </c>
      <c r="B109" s="13" t="str">
        <f t="array" aca="1" ref="B109" ca="1">OFFSET(C109,,MATCH(TRUE,C109:AJ109&lt;&gt;"",0)-1)</f>
        <v>Switching on the power supply</v>
      </c>
      <c r="C109" s="8" t="s">
        <v>67</v>
      </c>
      <c r="D109" t="s">
        <v>67</v>
      </c>
      <c r="E109" t="s">
        <v>67</v>
      </c>
      <c r="F109" t="s">
        <v>222</v>
      </c>
      <c r="G109" t="s">
        <v>344</v>
      </c>
      <c r="H109" t="s">
        <v>437</v>
      </c>
      <c r="I109" t="s">
        <v>222</v>
      </c>
      <c r="J109" t="s">
        <v>222</v>
      </c>
      <c r="K109" t="s">
        <v>222</v>
      </c>
      <c r="L109" t="s">
        <v>67</v>
      </c>
      <c r="M109" t="s">
        <v>67</v>
      </c>
      <c r="N109" t="s">
        <v>437</v>
      </c>
      <c r="O109" t="s">
        <v>67</v>
      </c>
      <c r="P109" t="s">
        <v>67</v>
      </c>
      <c r="Q109" t="s">
        <v>67</v>
      </c>
      <c r="R109" t="s">
        <v>67</v>
      </c>
      <c r="S109" t="s">
        <v>222</v>
      </c>
      <c r="T109" t="s">
        <v>67</v>
      </c>
      <c r="U109" t="s">
        <v>67</v>
      </c>
      <c r="V109" t="s">
        <v>67</v>
      </c>
      <c r="W109" t="s">
        <v>67</v>
      </c>
      <c r="X109" t="s">
        <v>67</v>
      </c>
      <c r="Y109" t="s">
        <v>67</v>
      </c>
      <c r="Z109" t="s">
        <v>67</v>
      </c>
      <c r="AA109" t="s">
        <v>67</v>
      </c>
      <c r="AB109" t="s">
        <v>67</v>
      </c>
      <c r="AC109" t="s">
        <v>67</v>
      </c>
      <c r="AD109" t="s">
        <v>67</v>
      </c>
      <c r="AE109" t="s">
        <v>67</v>
      </c>
      <c r="AF109" t="s">
        <v>67</v>
      </c>
      <c r="AG109" t="s">
        <v>67</v>
      </c>
      <c r="AH109" t="s">
        <v>67</v>
      </c>
      <c r="AI109" t="s">
        <v>67</v>
      </c>
      <c r="AJ109" t="s">
        <v>222</v>
      </c>
    </row>
    <row r="110" spans="1:36" ht="18.75" x14ac:dyDescent="0.25">
      <c r="A110" s="11">
        <f t="shared" si="2"/>
        <v>1</v>
      </c>
      <c r="B110" s="13" t="str">
        <f t="array" aca="1" ref="B110" ca="1">OFFSET(C110,,MATCH(TRUE,C110:AJ110&lt;&gt;"",0)-1)</f>
        <v>Switching on the control voltage</v>
      </c>
      <c r="C110" s="8" t="s">
        <v>68</v>
      </c>
      <c r="D110" t="s">
        <v>68</v>
      </c>
      <c r="E110" t="s">
        <v>68</v>
      </c>
      <c r="F110" t="s">
        <v>223</v>
      </c>
      <c r="G110" t="s">
        <v>345</v>
      </c>
      <c r="H110" t="s">
        <v>438</v>
      </c>
      <c r="I110" t="s">
        <v>513</v>
      </c>
      <c r="J110" t="s">
        <v>223</v>
      </c>
      <c r="K110" t="s">
        <v>223</v>
      </c>
      <c r="L110" t="s">
        <v>68</v>
      </c>
      <c r="M110" t="s">
        <v>68</v>
      </c>
      <c r="N110" t="s">
        <v>438</v>
      </c>
      <c r="O110" t="s">
        <v>68</v>
      </c>
      <c r="P110" t="s">
        <v>68</v>
      </c>
      <c r="Q110" t="s">
        <v>68</v>
      </c>
      <c r="R110" t="s">
        <v>68</v>
      </c>
      <c r="S110" t="s">
        <v>513</v>
      </c>
      <c r="T110" t="s">
        <v>68</v>
      </c>
      <c r="U110" t="s">
        <v>68</v>
      </c>
      <c r="V110" t="s">
        <v>68</v>
      </c>
      <c r="W110" t="s">
        <v>68</v>
      </c>
      <c r="X110" t="s">
        <v>68</v>
      </c>
      <c r="Y110" t="s">
        <v>68</v>
      </c>
      <c r="Z110" t="s">
        <v>68</v>
      </c>
      <c r="AA110" t="s">
        <v>68</v>
      </c>
      <c r="AB110" t="s">
        <v>68</v>
      </c>
      <c r="AC110" t="s">
        <v>68</v>
      </c>
      <c r="AD110" t="s">
        <v>68</v>
      </c>
      <c r="AE110" t="s">
        <v>68</v>
      </c>
      <c r="AF110" t="s">
        <v>68</v>
      </c>
      <c r="AG110" t="s">
        <v>68</v>
      </c>
      <c r="AH110" t="s">
        <v>68</v>
      </c>
      <c r="AI110" t="s">
        <v>68</v>
      </c>
      <c r="AJ110" t="s">
        <v>513</v>
      </c>
    </row>
    <row r="111" spans="1:36" ht="18.75" x14ac:dyDescent="0.25">
      <c r="A111" s="11">
        <f t="shared" si="2"/>
        <v>8.8235294117647078E-2</v>
      </c>
      <c r="B111" s="13" t="str">
        <f t="array" aca="1" ref="B111" ca="1">OFFSET(C111,,MATCH(TRUE,C111:AJ111&lt;&gt;"",0)-1)</f>
        <v>Switching on the data recorder</v>
      </c>
      <c r="C111" s="8" t="s">
        <v>69</v>
      </c>
      <c r="Z111" t="s">
        <v>69</v>
      </c>
      <c r="AC111" t="s">
        <v>69</v>
      </c>
    </row>
    <row r="112" spans="1:36" ht="18.75" x14ac:dyDescent="0.25">
      <c r="A112" s="11">
        <f t="shared" si="2"/>
        <v>1</v>
      </c>
      <c r="B112" s="13" t="str">
        <f t="array" aca="1" ref="B112" ca="1">OFFSET(C112,,MATCH(TRUE,C112:AJ112&lt;&gt;"",0)-1)</f>
        <v>Preparing the machine</v>
      </c>
      <c r="C112" s="8" t="s">
        <v>70</v>
      </c>
      <c r="D112" t="s">
        <v>70</v>
      </c>
      <c r="E112" t="s">
        <v>70</v>
      </c>
      <c r="F112" t="s">
        <v>224</v>
      </c>
      <c r="G112" t="s">
        <v>346</v>
      </c>
      <c r="H112" t="s">
        <v>439</v>
      </c>
      <c r="I112" t="s">
        <v>514</v>
      </c>
      <c r="J112" t="s">
        <v>224</v>
      </c>
      <c r="K112" t="s">
        <v>224</v>
      </c>
      <c r="L112" t="s">
        <v>70</v>
      </c>
      <c r="M112" t="s">
        <v>70</v>
      </c>
      <c r="N112" t="s">
        <v>439</v>
      </c>
      <c r="O112" t="s">
        <v>70</v>
      </c>
      <c r="P112" t="s">
        <v>70</v>
      </c>
      <c r="Q112" t="s">
        <v>70</v>
      </c>
      <c r="R112" t="s">
        <v>70</v>
      </c>
      <c r="S112" t="s">
        <v>514</v>
      </c>
      <c r="T112" t="s">
        <v>70</v>
      </c>
      <c r="U112" t="s">
        <v>70</v>
      </c>
      <c r="V112" t="s">
        <v>70</v>
      </c>
      <c r="W112" t="s">
        <v>70</v>
      </c>
      <c r="X112" t="s">
        <v>70</v>
      </c>
      <c r="Y112" t="s">
        <v>70</v>
      </c>
      <c r="Z112" t="s">
        <v>70</v>
      </c>
      <c r="AA112" t="s">
        <v>70</v>
      </c>
      <c r="AB112" t="s">
        <v>70</v>
      </c>
      <c r="AC112" t="s">
        <v>70</v>
      </c>
      <c r="AD112" t="s">
        <v>70</v>
      </c>
      <c r="AE112" t="s">
        <v>70</v>
      </c>
      <c r="AF112" t="s">
        <v>1452</v>
      </c>
      <c r="AG112" t="s">
        <v>70</v>
      </c>
      <c r="AH112" t="s">
        <v>70</v>
      </c>
      <c r="AI112" t="s">
        <v>70</v>
      </c>
      <c r="AJ112" t="s">
        <v>514</v>
      </c>
    </row>
    <row r="113" spans="1:36" ht="18.75" x14ac:dyDescent="0.25">
      <c r="A113" s="11">
        <f t="shared" si="2"/>
        <v>0.1470588235294118</v>
      </c>
      <c r="B113" s="13" t="str">
        <f t="array" aca="1" ref="B113" ca="1">OFFSET(C113,,MATCH(TRUE,C113:AJ113&lt;&gt;"",0)-1)</f>
        <v>Preparing the consumption measurement</v>
      </c>
      <c r="AF113" t="s">
        <v>1453</v>
      </c>
      <c r="AG113" t="s">
        <v>71</v>
      </c>
      <c r="AH113" t="s">
        <v>71</v>
      </c>
      <c r="AI113" t="s">
        <v>71</v>
      </c>
      <c r="AJ113" t="s">
        <v>515</v>
      </c>
    </row>
    <row r="114" spans="1:36" ht="18.75" x14ac:dyDescent="0.25">
      <c r="A114" s="11">
        <f t="shared" si="2"/>
        <v>1</v>
      </c>
      <c r="B114" s="13" t="str">
        <f t="array" aca="1" ref="B114" ca="1">OFFSET(C114,,MATCH(TRUE,C114:AJ114&lt;&gt;"",0)-1)</f>
        <v>Cleaning external machines/systems</v>
      </c>
      <c r="C114" s="8" t="s">
        <v>71</v>
      </c>
      <c r="D114" t="s">
        <v>71</v>
      </c>
      <c r="E114" t="s">
        <v>71</v>
      </c>
      <c r="F114" t="s">
        <v>225</v>
      </c>
      <c r="G114" t="s">
        <v>347</v>
      </c>
      <c r="H114" t="s">
        <v>440</v>
      </c>
      <c r="I114" t="s">
        <v>515</v>
      </c>
      <c r="J114" t="s">
        <v>225</v>
      </c>
      <c r="K114" t="s">
        <v>225</v>
      </c>
      <c r="L114" t="s">
        <v>71</v>
      </c>
      <c r="M114" t="s">
        <v>71</v>
      </c>
      <c r="N114" t="s">
        <v>440</v>
      </c>
      <c r="O114" t="s">
        <v>71</v>
      </c>
      <c r="P114" t="s">
        <v>71</v>
      </c>
      <c r="Q114" t="s">
        <v>71</v>
      </c>
      <c r="R114" t="s">
        <v>71</v>
      </c>
      <c r="S114" t="s">
        <v>515</v>
      </c>
      <c r="T114" t="s">
        <v>71</v>
      </c>
      <c r="U114" t="s">
        <v>71</v>
      </c>
      <c r="V114" t="s">
        <v>71</v>
      </c>
      <c r="W114" t="s">
        <v>71</v>
      </c>
      <c r="X114" t="s">
        <v>71</v>
      </c>
      <c r="Y114" t="s">
        <v>71</v>
      </c>
      <c r="Z114" t="s">
        <v>71</v>
      </c>
      <c r="AA114" t="s">
        <v>71</v>
      </c>
      <c r="AB114" t="s">
        <v>71</v>
      </c>
      <c r="AC114" t="s">
        <v>71</v>
      </c>
      <c r="AD114" t="s">
        <v>71</v>
      </c>
      <c r="AE114" t="s">
        <v>71</v>
      </c>
      <c r="AF114" t="s">
        <v>71</v>
      </c>
      <c r="AG114" t="s">
        <v>48</v>
      </c>
      <c r="AH114" t="s">
        <v>48</v>
      </c>
      <c r="AI114" t="s">
        <v>48</v>
      </c>
      <c r="AJ114" t="s">
        <v>503</v>
      </c>
    </row>
    <row r="115" spans="1:36" ht="18.75" x14ac:dyDescent="0.25">
      <c r="A115" s="11">
        <f t="shared" si="2"/>
        <v>0.88235294117647056</v>
      </c>
      <c r="B115" s="13" t="str">
        <f t="array" aca="1" ref="B115" ca="1">OFFSET(C115,,MATCH(TRUE,C115:AJ115&lt;&gt;"",0)-1)</f>
        <v>Safety instructions</v>
      </c>
      <c r="C115" s="8" t="s">
        <v>48</v>
      </c>
      <c r="D115" t="s">
        <v>48</v>
      </c>
      <c r="E115" t="s">
        <v>48</v>
      </c>
      <c r="F115" t="s">
        <v>205</v>
      </c>
      <c r="G115" t="s">
        <v>327</v>
      </c>
      <c r="H115" t="s">
        <v>327</v>
      </c>
      <c r="I115" t="s">
        <v>503</v>
      </c>
      <c r="J115" t="s">
        <v>205</v>
      </c>
      <c r="K115" t="s">
        <v>205</v>
      </c>
      <c r="L115" t="s">
        <v>48</v>
      </c>
      <c r="M115" t="s">
        <v>48</v>
      </c>
      <c r="N115" t="s">
        <v>327</v>
      </c>
      <c r="O115" t="s">
        <v>48</v>
      </c>
      <c r="P115" t="s">
        <v>48</v>
      </c>
      <c r="Q115" t="s">
        <v>48</v>
      </c>
      <c r="R115" t="s">
        <v>48</v>
      </c>
      <c r="S115" t="s">
        <v>503</v>
      </c>
      <c r="T115" t="s">
        <v>48</v>
      </c>
      <c r="U115" t="s">
        <v>48</v>
      </c>
      <c r="V115" t="s">
        <v>48</v>
      </c>
      <c r="W115" t="s">
        <v>48</v>
      </c>
      <c r="X115" t="s">
        <v>48</v>
      </c>
      <c r="Y115" t="s">
        <v>48</v>
      </c>
      <c r="Z115" t="s">
        <v>48</v>
      </c>
      <c r="AA115" t="s">
        <v>48</v>
      </c>
      <c r="AB115" t="s">
        <v>48</v>
      </c>
      <c r="AC115" t="s">
        <v>48</v>
      </c>
      <c r="AD115" t="s">
        <v>48</v>
      </c>
      <c r="AE115" t="s">
        <v>48</v>
      </c>
      <c r="AF115" t="s">
        <v>48</v>
      </c>
    </row>
    <row r="116" spans="1:36" ht="18.75" x14ac:dyDescent="0.25">
      <c r="A116" s="11">
        <f t="shared" si="2"/>
        <v>5.8823529411764719E-2</v>
      </c>
      <c r="B116" s="13" t="str">
        <f t="array" aca="1" ref="B116" ca="1">OFFSET(C116,,MATCH(TRUE,C116:AJ116&lt;&gt;"",0)-1)</f>
        <v>Lista de pequenas intervenções</v>
      </c>
      <c r="C116" s="8"/>
      <c r="K116" t="s">
        <v>567</v>
      </c>
      <c r="AF116" t="s">
        <v>1454</v>
      </c>
    </row>
    <row r="117" spans="1:36" ht="18.75" x14ac:dyDescent="0.25">
      <c r="A117" s="11">
        <f t="shared" si="2"/>
        <v>1</v>
      </c>
      <c r="B117" s="13" t="str">
        <f t="array" aca="1" ref="B117" ca="1">OFFSET(C117,,MATCH(TRUE,C117:AJ117&lt;&gt;"",0)-1)</f>
        <v>Prerequisites</v>
      </c>
      <c r="C117" s="8" t="s">
        <v>72</v>
      </c>
      <c r="D117" t="s">
        <v>72</v>
      </c>
      <c r="E117" t="s">
        <v>72</v>
      </c>
      <c r="F117" t="s">
        <v>226</v>
      </c>
      <c r="G117" t="s">
        <v>348</v>
      </c>
      <c r="H117" t="s">
        <v>226</v>
      </c>
      <c r="I117" t="s">
        <v>243</v>
      </c>
      <c r="J117" t="s">
        <v>226</v>
      </c>
      <c r="K117" t="s">
        <v>226</v>
      </c>
      <c r="L117" t="s">
        <v>72</v>
      </c>
      <c r="M117" t="s">
        <v>72</v>
      </c>
      <c r="N117" t="s">
        <v>226</v>
      </c>
      <c r="O117" t="s">
        <v>72</v>
      </c>
      <c r="P117" t="s">
        <v>72</v>
      </c>
      <c r="Q117" t="s">
        <v>72</v>
      </c>
      <c r="R117" t="s">
        <v>90</v>
      </c>
      <c r="S117" t="s">
        <v>243</v>
      </c>
      <c r="T117" t="s">
        <v>72</v>
      </c>
      <c r="U117" t="s">
        <v>72</v>
      </c>
      <c r="V117" t="s">
        <v>72</v>
      </c>
      <c r="W117" t="s">
        <v>72</v>
      </c>
      <c r="X117" t="s">
        <v>72</v>
      </c>
      <c r="Y117" t="s">
        <v>72</v>
      </c>
      <c r="Z117" t="s">
        <v>72</v>
      </c>
      <c r="AA117" t="s">
        <v>72</v>
      </c>
      <c r="AB117" t="s">
        <v>72</v>
      </c>
      <c r="AC117" t="s">
        <v>72</v>
      </c>
      <c r="AD117" t="s">
        <v>72</v>
      </c>
      <c r="AE117" t="s">
        <v>72</v>
      </c>
      <c r="AF117" t="s">
        <v>72</v>
      </c>
      <c r="AG117" t="s">
        <v>72</v>
      </c>
      <c r="AH117" t="s">
        <v>72</v>
      </c>
      <c r="AI117" t="s">
        <v>72</v>
      </c>
      <c r="AJ117" t="s">
        <v>243</v>
      </c>
    </row>
    <row r="118" spans="1:36" ht="18.75" x14ac:dyDescent="0.25">
      <c r="A118" s="11">
        <f t="shared" si="2"/>
        <v>1</v>
      </c>
      <c r="B118" s="13" t="str">
        <f t="array" aca="1" ref="B118" ca="1">OFFSET(C118,,MATCH(TRUE,C118:AJ118&lt;&gt;"",0)-1)</f>
        <v>Preparation</v>
      </c>
      <c r="C118" s="8" t="s">
        <v>73</v>
      </c>
      <c r="D118" t="s">
        <v>73</v>
      </c>
      <c r="E118" t="s">
        <v>73</v>
      </c>
      <c r="F118" t="s">
        <v>227</v>
      </c>
      <c r="G118" t="s">
        <v>227</v>
      </c>
      <c r="H118" t="s">
        <v>441</v>
      </c>
      <c r="I118" t="s">
        <v>227</v>
      </c>
      <c r="J118" t="s">
        <v>227</v>
      </c>
      <c r="K118" t="s">
        <v>227</v>
      </c>
      <c r="L118" t="s">
        <v>73</v>
      </c>
      <c r="M118" t="s">
        <v>73</v>
      </c>
      <c r="N118" t="s">
        <v>441</v>
      </c>
      <c r="O118" t="s">
        <v>73</v>
      </c>
      <c r="P118" t="s">
        <v>73</v>
      </c>
      <c r="Q118" t="s">
        <v>73</v>
      </c>
      <c r="R118" t="s">
        <v>73</v>
      </c>
      <c r="S118" t="s">
        <v>227</v>
      </c>
      <c r="T118" t="s">
        <v>73</v>
      </c>
      <c r="U118" t="s">
        <v>73</v>
      </c>
      <c r="V118" t="s">
        <v>73</v>
      </c>
      <c r="W118" t="s">
        <v>73</v>
      </c>
      <c r="X118" t="s">
        <v>73</v>
      </c>
      <c r="Y118" t="s">
        <v>73</v>
      </c>
      <c r="Z118" t="s">
        <v>73</v>
      </c>
      <c r="AA118" t="s">
        <v>73</v>
      </c>
      <c r="AB118" t="s">
        <v>73</v>
      </c>
      <c r="AC118" t="s">
        <v>73</v>
      </c>
      <c r="AD118" t="s">
        <v>73</v>
      </c>
      <c r="AE118" t="s">
        <v>73</v>
      </c>
      <c r="AF118" t="s">
        <v>73</v>
      </c>
      <c r="AG118" t="s">
        <v>73</v>
      </c>
      <c r="AH118" t="s">
        <v>73</v>
      </c>
      <c r="AI118" t="s">
        <v>73</v>
      </c>
      <c r="AJ118" t="s">
        <v>227</v>
      </c>
    </row>
    <row r="119" spans="1:36" ht="18.75" x14ac:dyDescent="0.25">
      <c r="A119" s="11">
        <f t="shared" si="2"/>
        <v>1</v>
      </c>
      <c r="B119" s="13" t="str">
        <f t="array" aca="1" ref="B119" ca="1">OFFSET(C119,,MATCH(TRUE,C119:AJ119&lt;&gt;"",0)-1)</f>
        <v>Execution</v>
      </c>
      <c r="C119" s="8" t="s">
        <v>74</v>
      </c>
      <c r="D119" t="s">
        <v>74</v>
      </c>
      <c r="E119" t="s">
        <v>74</v>
      </c>
      <c r="F119" t="s">
        <v>228</v>
      </c>
      <c r="G119" t="s">
        <v>349</v>
      </c>
      <c r="H119" t="s">
        <v>442</v>
      </c>
      <c r="I119" t="s">
        <v>228</v>
      </c>
      <c r="J119" t="s">
        <v>228</v>
      </c>
      <c r="K119" t="s">
        <v>228</v>
      </c>
      <c r="L119" t="s">
        <v>74</v>
      </c>
      <c r="M119" t="s">
        <v>74</v>
      </c>
      <c r="N119" t="s">
        <v>442</v>
      </c>
      <c r="O119" t="s">
        <v>74</v>
      </c>
      <c r="P119" t="s">
        <v>74</v>
      </c>
      <c r="Q119" t="s">
        <v>74</v>
      </c>
      <c r="R119" t="s">
        <v>74</v>
      </c>
      <c r="S119" t="s">
        <v>228</v>
      </c>
      <c r="T119" t="s">
        <v>74</v>
      </c>
      <c r="U119" t="s">
        <v>74</v>
      </c>
      <c r="V119" t="s">
        <v>74</v>
      </c>
      <c r="W119" t="s">
        <v>74</v>
      </c>
      <c r="X119" t="s">
        <v>74</v>
      </c>
      <c r="Y119" t="s">
        <v>74</v>
      </c>
      <c r="Z119" t="s">
        <v>74</v>
      </c>
      <c r="AA119" t="s">
        <v>74</v>
      </c>
      <c r="AB119" t="s">
        <v>74</v>
      </c>
      <c r="AC119" t="s">
        <v>74</v>
      </c>
      <c r="AD119" t="s">
        <v>74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228</v>
      </c>
    </row>
    <row r="120" spans="1:36" ht="18.75" x14ac:dyDescent="0.25">
      <c r="A120" s="11">
        <f t="shared" si="2"/>
        <v>1</v>
      </c>
      <c r="B120" s="13" t="str">
        <f t="array" aca="1" ref="B120" ca="1">OFFSET(C120,,MATCH(TRUE,C120:AJ120&lt;&gt;"",0)-1)</f>
        <v>Ending production</v>
      </c>
      <c r="C120" s="8" t="s">
        <v>75</v>
      </c>
      <c r="D120" t="s">
        <v>75</v>
      </c>
      <c r="E120" t="s">
        <v>147</v>
      </c>
      <c r="F120" t="s">
        <v>229</v>
      </c>
      <c r="G120" t="s">
        <v>350</v>
      </c>
      <c r="H120" t="s">
        <v>443</v>
      </c>
      <c r="I120" t="s">
        <v>516</v>
      </c>
      <c r="J120" t="s">
        <v>229</v>
      </c>
      <c r="K120" t="s">
        <v>229</v>
      </c>
      <c r="L120" t="s">
        <v>147</v>
      </c>
      <c r="M120" t="s">
        <v>147</v>
      </c>
      <c r="N120" t="s">
        <v>443</v>
      </c>
      <c r="O120" t="s">
        <v>1377</v>
      </c>
      <c r="P120" t="s">
        <v>1377</v>
      </c>
      <c r="Q120" t="s">
        <v>75</v>
      </c>
      <c r="R120" t="s">
        <v>1404</v>
      </c>
      <c r="S120" t="s">
        <v>516</v>
      </c>
      <c r="T120" t="s">
        <v>75</v>
      </c>
      <c r="U120" t="s">
        <v>75</v>
      </c>
      <c r="V120" t="s">
        <v>75</v>
      </c>
      <c r="W120" t="s">
        <v>75</v>
      </c>
      <c r="X120" t="s">
        <v>75</v>
      </c>
      <c r="Y120" t="s">
        <v>75</v>
      </c>
      <c r="Z120" t="s">
        <v>75</v>
      </c>
      <c r="AA120" t="s">
        <v>75</v>
      </c>
      <c r="AB120" t="s">
        <v>75</v>
      </c>
      <c r="AC120" t="s">
        <v>75</v>
      </c>
      <c r="AD120" t="s">
        <v>75</v>
      </c>
      <c r="AE120" t="s">
        <v>75</v>
      </c>
      <c r="AF120" t="s">
        <v>75</v>
      </c>
      <c r="AG120" t="s">
        <v>75</v>
      </c>
      <c r="AH120" t="s">
        <v>75</v>
      </c>
      <c r="AI120" t="s">
        <v>75</v>
      </c>
      <c r="AJ120" t="s">
        <v>516</v>
      </c>
    </row>
    <row r="121" spans="1:36" ht="18.75" x14ac:dyDescent="0.25">
      <c r="A121" s="11">
        <f t="shared" si="2"/>
        <v>8.8235294117647078E-2</v>
      </c>
      <c r="B121" s="13" t="str">
        <f t="array" aca="1" ref="B121" ca="1">OFFSET(C121,,MATCH(TRUE,C121:AJ121&lt;&gt;"",0)-1)</f>
        <v>Realice el rociado con agua caliente</v>
      </c>
      <c r="C121" s="8"/>
      <c r="H121" t="s">
        <v>444</v>
      </c>
      <c r="K121" t="s">
        <v>568</v>
      </c>
      <c r="N121" t="s">
        <v>444</v>
      </c>
    </row>
    <row r="122" spans="1:36" ht="18.75" x14ac:dyDescent="0.25">
      <c r="A122" s="11">
        <f t="shared" si="2"/>
        <v>1</v>
      </c>
      <c r="B122" s="13" t="str">
        <f t="array" aca="1" ref="B122" ca="1">OFFSET(C122,,MATCH(TRUE,C122:AJ122&lt;&gt;"",0)-1)</f>
        <v>Cleaning the CIP system</v>
      </c>
      <c r="C122" s="8" t="s">
        <v>76</v>
      </c>
      <c r="D122" t="s">
        <v>76</v>
      </c>
      <c r="E122" t="s">
        <v>76</v>
      </c>
      <c r="F122" t="s">
        <v>230</v>
      </c>
      <c r="G122" t="s">
        <v>351</v>
      </c>
      <c r="H122" t="s">
        <v>445</v>
      </c>
      <c r="I122" t="s">
        <v>230</v>
      </c>
      <c r="J122" t="s">
        <v>230</v>
      </c>
      <c r="K122" t="s">
        <v>230</v>
      </c>
      <c r="L122" t="s">
        <v>76</v>
      </c>
      <c r="M122" t="s">
        <v>76</v>
      </c>
      <c r="N122" t="s">
        <v>445</v>
      </c>
      <c r="O122" t="s">
        <v>76</v>
      </c>
      <c r="P122" t="s">
        <v>76</v>
      </c>
      <c r="Q122" t="s">
        <v>76</v>
      </c>
      <c r="R122" t="s">
        <v>76</v>
      </c>
      <c r="S122" t="s">
        <v>230</v>
      </c>
      <c r="T122" t="s">
        <v>76</v>
      </c>
      <c r="U122" t="s">
        <v>76</v>
      </c>
      <c r="V122" t="s">
        <v>76</v>
      </c>
      <c r="W122" t="s">
        <v>76</v>
      </c>
      <c r="X122" t="s">
        <v>76</v>
      </c>
      <c r="Y122" t="s">
        <v>76</v>
      </c>
      <c r="Z122" t="s">
        <v>76</v>
      </c>
      <c r="AA122" t="s">
        <v>76</v>
      </c>
      <c r="AB122" t="s">
        <v>76</v>
      </c>
      <c r="AC122" t="s">
        <v>76</v>
      </c>
      <c r="AD122" t="s">
        <v>76</v>
      </c>
      <c r="AE122" t="s">
        <v>76</v>
      </c>
      <c r="AF122" t="s">
        <v>76</v>
      </c>
      <c r="AG122" t="s">
        <v>76</v>
      </c>
      <c r="AH122" t="s">
        <v>76</v>
      </c>
      <c r="AI122" t="s">
        <v>76</v>
      </c>
      <c r="AJ122" t="s">
        <v>230</v>
      </c>
    </row>
    <row r="123" spans="1:36" ht="18.75" x14ac:dyDescent="0.25">
      <c r="A123" s="11">
        <f t="shared" si="2"/>
        <v>1</v>
      </c>
      <c r="B123" s="13" t="str">
        <f t="array" aca="1" ref="B123" ca="1">OFFSET(C123,,MATCH(TRUE,C123:AJ123&lt;&gt;"",0)-1)</f>
        <v>Safety instructions</v>
      </c>
      <c r="C123" s="8" t="s">
        <v>48</v>
      </c>
      <c r="D123" t="s">
        <v>48</v>
      </c>
      <c r="E123" t="s">
        <v>48</v>
      </c>
      <c r="F123" t="s">
        <v>205</v>
      </c>
      <c r="G123" t="s">
        <v>327</v>
      </c>
      <c r="H123" t="s">
        <v>327</v>
      </c>
      <c r="I123" t="s">
        <v>503</v>
      </c>
      <c r="J123" t="s">
        <v>205</v>
      </c>
      <c r="K123" t="s">
        <v>205</v>
      </c>
      <c r="L123" t="s">
        <v>48</v>
      </c>
      <c r="M123" t="s">
        <v>48</v>
      </c>
      <c r="N123" t="s">
        <v>327</v>
      </c>
      <c r="O123" t="s">
        <v>48</v>
      </c>
      <c r="P123" t="s">
        <v>48</v>
      </c>
      <c r="Q123" t="s">
        <v>48</v>
      </c>
      <c r="R123" t="s">
        <v>48</v>
      </c>
      <c r="S123" t="s">
        <v>503</v>
      </c>
      <c r="T123" t="s">
        <v>48</v>
      </c>
      <c r="U123" t="s">
        <v>48</v>
      </c>
      <c r="V123" t="s">
        <v>48</v>
      </c>
      <c r="W123" t="s">
        <v>48</v>
      </c>
      <c r="X123" t="s">
        <v>48</v>
      </c>
      <c r="Y123" t="s">
        <v>48</v>
      </c>
      <c r="Z123" t="s">
        <v>48</v>
      </c>
      <c r="AA123" t="s">
        <v>48</v>
      </c>
      <c r="AB123" t="s">
        <v>48</v>
      </c>
      <c r="AC123" t="s">
        <v>48</v>
      </c>
      <c r="AD123" t="s">
        <v>48</v>
      </c>
      <c r="AE123" t="s">
        <v>48</v>
      </c>
      <c r="AF123" t="s">
        <v>48</v>
      </c>
      <c r="AG123" t="s">
        <v>48</v>
      </c>
      <c r="AH123" t="s">
        <v>48</v>
      </c>
      <c r="AI123" t="s">
        <v>48</v>
      </c>
      <c r="AJ123" t="s">
        <v>503</v>
      </c>
    </row>
    <row r="124" spans="1:36" ht="18.75" x14ac:dyDescent="0.25">
      <c r="A124" s="11">
        <f t="shared" si="2"/>
        <v>1</v>
      </c>
      <c r="B124" s="13" t="str">
        <f t="array" aca="1" ref="B124" ca="1">OFFSET(C124,,MATCH(TRUE,C124:AJ124&lt;&gt;"",0)-1)</f>
        <v>Prerequisites</v>
      </c>
      <c r="C124" s="8" t="s">
        <v>72</v>
      </c>
      <c r="D124" t="s">
        <v>72</v>
      </c>
      <c r="E124" t="s">
        <v>72</v>
      </c>
      <c r="F124" t="s">
        <v>226</v>
      </c>
      <c r="G124" t="s">
        <v>348</v>
      </c>
      <c r="H124" t="s">
        <v>226</v>
      </c>
      <c r="I124" t="s">
        <v>243</v>
      </c>
      <c r="J124" t="s">
        <v>226</v>
      </c>
      <c r="K124" t="s">
        <v>226</v>
      </c>
      <c r="L124" t="s">
        <v>72</v>
      </c>
      <c r="M124" t="s">
        <v>72</v>
      </c>
      <c r="N124" t="s">
        <v>226</v>
      </c>
      <c r="O124" t="s">
        <v>72</v>
      </c>
      <c r="P124" t="s">
        <v>72</v>
      </c>
      <c r="Q124" t="s">
        <v>72</v>
      </c>
      <c r="R124" t="s">
        <v>90</v>
      </c>
      <c r="S124" t="s">
        <v>243</v>
      </c>
      <c r="T124" t="s">
        <v>72</v>
      </c>
      <c r="U124" t="s">
        <v>72</v>
      </c>
      <c r="V124" t="s">
        <v>72</v>
      </c>
      <c r="W124" t="s">
        <v>72</v>
      </c>
      <c r="X124" t="s">
        <v>72</v>
      </c>
      <c r="Y124" t="s">
        <v>72</v>
      </c>
      <c r="Z124" t="s">
        <v>72</v>
      </c>
      <c r="AA124" t="s">
        <v>72</v>
      </c>
      <c r="AB124" t="s">
        <v>72</v>
      </c>
      <c r="AC124" t="s">
        <v>72</v>
      </c>
      <c r="AD124" t="s">
        <v>72</v>
      </c>
      <c r="AE124" t="s">
        <v>72</v>
      </c>
      <c r="AF124" t="s">
        <v>72</v>
      </c>
      <c r="AG124" t="s">
        <v>72</v>
      </c>
      <c r="AH124" t="s">
        <v>72</v>
      </c>
      <c r="AI124" t="s">
        <v>72</v>
      </c>
      <c r="AJ124" t="s">
        <v>243</v>
      </c>
    </row>
    <row r="125" spans="1:36" ht="18.75" x14ac:dyDescent="0.25">
      <c r="A125" s="11">
        <f t="shared" si="2"/>
        <v>1</v>
      </c>
      <c r="B125" s="13" t="str">
        <f t="array" aca="1" ref="B125" ca="1">OFFSET(C125,,MATCH(TRUE,C125:AJ125&lt;&gt;"",0)-1)</f>
        <v>Preparation</v>
      </c>
      <c r="C125" s="8" t="s">
        <v>73</v>
      </c>
      <c r="D125" t="s">
        <v>73</v>
      </c>
      <c r="E125" t="s">
        <v>73</v>
      </c>
      <c r="F125" t="s">
        <v>227</v>
      </c>
      <c r="G125" t="s">
        <v>227</v>
      </c>
      <c r="H125" t="s">
        <v>441</v>
      </c>
      <c r="I125" t="s">
        <v>227</v>
      </c>
      <c r="J125" t="s">
        <v>227</v>
      </c>
      <c r="K125" t="s">
        <v>227</v>
      </c>
      <c r="L125" t="s">
        <v>73</v>
      </c>
      <c r="M125" t="s">
        <v>73</v>
      </c>
      <c r="N125" t="s">
        <v>441</v>
      </c>
      <c r="O125" t="s">
        <v>73</v>
      </c>
      <c r="P125" t="s">
        <v>73</v>
      </c>
      <c r="Q125" t="s">
        <v>73</v>
      </c>
      <c r="R125" t="s">
        <v>73</v>
      </c>
      <c r="S125" t="s">
        <v>227</v>
      </c>
      <c r="T125" t="s">
        <v>73</v>
      </c>
      <c r="U125" t="s">
        <v>73</v>
      </c>
      <c r="V125" t="s">
        <v>73</v>
      </c>
      <c r="W125" t="s">
        <v>73</v>
      </c>
      <c r="X125" t="s">
        <v>73</v>
      </c>
      <c r="Y125" t="s">
        <v>73</v>
      </c>
      <c r="Z125" t="s">
        <v>73</v>
      </c>
      <c r="AA125" t="s">
        <v>73</v>
      </c>
      <c r="AB125" t="s">
        <v>73</v>
      </c>
      <c r="AC125" t="s">
        <v>73</v>
      </c>
      <c r="AD125" t="s">
        <v>73</v>
      </c>
      <c r="AE125" t="s">
        <v>73</v>
      </c>
      <c r="AF125" t="s">
        <v>73</v>
      </c>
      <c r="AG125" t="s">
        <v>73</v>
      </c>
      <c r="AH125" t="s">
        <v>73</v>
      </c>
      <c r="AI125" t="s">
        <v>73</v>
      </c>
      <c r="AJ125" t="s">
        <v>227</v>
      </c>
    </row>
    <row r="126" spans="1:36" ht="18.75" x14ac:dyDescent="0.25">
      <c r="A126" s="11">
        <f t="shared" si="2"/>
        <v>1</v>
      </c>
      <c r="B126" s="13" t="str">
        <f t="array" aca="1" ref="B126" ca="1">OFFSET(C126,,MATCH(TRUE,C126:AJ126&lt;&gt;"",0)-1)</f>
        <v>Execution</v>
      </c>
      <c r="C126" s="8" t="s">
        <v>74</v>
      </c>
      <c r="D126" t="s">
        <v>74</v>
      </c>
      <c r="E126" t="s">
        <v>74</v>
      </c>
      <c r="F126" t="s">
        <v>228</v>
      </c>
      <c r="G126" t="s">
        <v>349</v>
      </c>
      <c r="H126" t="s">
        <v>442</v>
      </c>
      <c r="I126" t="s">
        <v>228</v>
      </c>
      <c r="J126" t="s">
        <v>228</v>
      </c>
      <c r="K126" t="s">
        <v>228</v>
      </c>
      <c r="L126" t="s">
        <v>74</v>
      </c>
      <c r="M126" t="s">
        <v>74</v>
      </c>
      <c r="N126" t="s">
        <v>442</v>
      </c>
      <c r="O126" t="s">
        <v>74</v>
      </c>
      <c r="P126" t="s">
        <v>74</v>
      </c>
      <c r="Q126" t="s">
        <v>74</v>
      </c>
      <c r="R126" t="s">
        <v>74</v>
      </c>
      <c r="S126" t="s">
        <v>228</v>
      </c>
      <c r="T126" t="s">
        <v>74</v>
      </c>
      <c r="U126" t="s">
        <v>74</v>
      </c>
      <c r="V126" t="s">
        <v>74</v>
      </c>
      <c r="W126" t="s">
        <v>74</v>
      </c>
      <c r="X126" t="s">
        <v>74</v>
      </c>
      <c r="Y126" t="s">
        <v>74</v>
      </c>
      <c r="Z126" t="s">
        <v>74</v>
      </c>
      <c r="AA126" t="s">
        <v>74</v>
      </c>
      <c r="AB126" t="s">
        <v>74</v>
      </c>
      <c r="AC126" t="s">
        <v>74</v>
      </c>
      <c r="AD126" t="s">
        <v>74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228</v>
      </c>
    </row>
    <row r="127" spans="1:36" ht="18.75" x14ac:dyDescent="0.25">
      <c r="A127" s="11">
        <f t="shared" si="2"/>
        <v>1</v>
      </c>
      <c r="B127" s="13" t="str">
        <f t="array" aca="1" ref="B127" ca="1">OFFSET(C127,,MATCH(TRUE,C127:AJ127&lt;&gt;"",0)-1)</f>
        <v>Ending production</v>
      </c>
      <c r="C127" s="8" t="s">
        <v>75</v>
      </c>
      <c r="D127" t="s">
        <v>75</v>
      </c>
      <c r="E127" t="s">
        <v>147</v>
      </c>
      <c r="F127" t="s">
        <v>229</v>
      </c>
      <c r="G127" t="s">
        <v>350</v>
      </c>
      <c r="H127" t="s">
        <v>443</v>
      </c>
      <c r="I127" t="s">
        <v>516</v>
      </c>
      <c r="J127" t="s">
        <v>229</v>
      </c>
      <c r="K127" t="s">
        <v>229</v>
      </c>
      <c r="L127" t="s">
        <v>147</v>
      </c>
      <c r="M127" t="s">
        <v>147</v>
      </c>
      <c r="N127" t="s">
        <v>443</v>
      </c>
      <c r="O127" t="s">
        <v>1377</v>
      </c>
      <c r="P127" t="s">
        <v>1377</v>
      </c>
      <c r="Q127" t="s">
        <v>75</v>
      </c>
      <c r="R127" t="s">
        <v>1404</v>
      </c>
      <c r="S127" t="s">
        <v>516</v>
      </c>
      <c r="T127" t="s">
        <v>75</v>
      </c>
      <c r="U127" t="s">
        <v>75</v>
      </c>
      <c r="V127" t="s">
        <v>75</v>
      </c>
      <c r="W127" t="s">
        <v>75</v>
      </c>
      <c r="X127" t="s">
        <v>75</v>
      </c>
      <c r="Y127" t="s">
        <v>75</v>
      </c>
      <c r="Z127" t="s">
        <v>75</v>
      </c>
      <c r="AA127" t="s">
        <v>75</v>
      </c>
      <c r="AB127" t="s">
        <v>75</v>
      </c>
      <c r="AC127" t="s">
        <v>75</v>
      </c>
      <c r="AD127" t="s">
        <v>75</v>
      </c>
      <c r="AE127" t="s">
        <v>75</v>
      </c>
      <c r="AF127" t="s">
        <v>75</v>
      </c>
      <c r="AG127" t="s">
        <v>75</v>
      </c>
      <c r="AH127" t="s">
        <v>75</v>
      </c>
      <c r="AI127" t="s">
        <v>75</v>
      </c>
      <c r="AJ127" t="s">
        <v>516</v>
      </c>
    </row>
    <row r="128" spans="1:36" ht="18.75" x14ac:dyDescent="0.25">
      <c r="A128" s="11">
        <f t="shared" si="2"/>
        <v>0.1470588235294118</v>
      </c>
      <c r="B128" s="13" t="str">
        <f t="array" aca="1" ref="B128" ca="1">OFFSET(C128,,MATCH(TRUE,C128:AJ128&lt;&gt;"",0)-1)</f>
        <v>Prepare el distribuidor para la siguiente producción</v>
      </c>
      <c r="C128" s="8"/>
      <c r="H128" t="s">
        <v>446</v>
      </c>
      <c r="N128" t="s">
        <v>446</v>
      </c>
      <c r="V128" t="s">
        <v>1439</v>
      </c>
      <c r="X128" t="s">
        <v>1439</v>
      </c>
      <c r="AH128" t="s">
        <v>1439</v>
      </c>
    </row>
    <row r="129" spans="1:36" ht="18.75" x14ac:dyDescent="0.25">
      <c r="A129" s="11">
        <f t="shared" si="2"/>
        <v>5.8823529411764719E-2</v>
      </c>
      <c r="B129" s="13" t="str">
        <f t="array" aca="1" ref="B129" ca="1">OFFSET(C129,,MATCH(TRUE,C129:AJ129&lt;&gt;"",0)-1)</f>
        <v>Distributor in detergent circuit CR70</v>
      </c>
      <c r="V129" t="s">
        <v>1440</v>
      </c>
      <c r="X129" t="s">
        <v>1440</v>
      </c>
    </row>
    <row r="130" spans="1:36" ht="18.75" x14ac:dyDescent="0.25">
      <c r="A130" s="11">
        <f t="shared" si="2"/>
        <v>5.8823529411764719E-2</v>
      </c>
      <c r="B130" s="13" t="str">
        <f t="array" aca="1" ref="B130" ca="1">OFFSET(C130,,MATCH(TRUE,C130:AJ130&lt;&gt;"",0)-1)</f>
        <v>Distributor in detergent circuit CR69</v>
      </c>
      <c r="V130" t="s">
        <v>1441</v>
      </c>
      <c r="X130" t="s">
        <v>1441</v>
      </c>
    </row>
    <row r="131" spans="1:36" ht="18.75" x14ac:dyDescent="0.25">
      <c r="A131" s="11">
        <f t="shared" si="2"/>
        <v>1</v>
      </c>
      <c r="B131" s="13" t="str">
        <f t="array" aca="1" ref="B131" ca="1">OFFSET(C131,,MATCH(TRUE,C131:AJ131&lt;&gt;"",0)-1)</f>
        <v>Taking the machine out of operation</v>
      </c>
      <c r="C131" s="8" t="s">
        <v>77</v>
      </c>
      <c r="D131" t="s">
        <v>77</v>
      </c>
      <c r="E131" t="s">
        <v>77</v>
      </c>
      <c r="F131" t="s">
        <v>231</v>
      </c>
      <c r="G131" t="s">
        <v>352</v>
      </c>
      <c r="H131" t="s">
        <v>447</v>
      </c>
      <c r="I131" t="s">
        <v>517</v>
      </c>
      <c r="J131" t="s">
        <v>231</v>
      </c>
      <c r="K131" t="s">
        <v>231</v>
      </c>
      <c r="L131" t="s">
        <v>77</v>
      </c>
      <c r="M131" t="s">
        <v>77</v>
      </c>
      <c r="N131" t="s">
        <v>447</v>
      </c>
      <c r="O131" t="s">
        <v>77</v>
      </c>
      <c r="P131" t="s">
        <v>77</v>
      </c>
      <c r="Q131" t="s">
        <v>77</v>
      </c>
      <c r="R131" t="s">
        <v>77</v>
      </c>
      <c r="S131" t="s">
        <v>1425</v>
      </c>
      <c r="T131" t="s">
        <v>77</v>
      </c>
      <c r="U131" t="s">
        <v>77</v>
      </c>
      <c r="V131" t="s">
        <v>77</v>
      </c>
      <c r="W131" t="s">
        <v>77</v>
      </c>
      <c r="X131" t="s">
        <v>77</v>
      </c>
      <c r="Y131" t="s">
        <v>77</v>
      </c>
      <c r="Z131" t="s">
        <v>77</v>
      </c>
      <c r="AA131" t="s">
        <v>77</v>
      </c>
      <c r="AB131" t="s">
        <v>77</v>
      </c>
      <c r="AC131" t="s">
        <v>77</v>
      </c>
      <c r="AD131" t="s">
        <v>77</v>
      </c>
      <c r="AE131" t="s">
        <v>77</v>
      </c>
      <c r="AF131" t="s">
        <v>77</v>
      </c>
      <c r="AG131" t="s">
        <v>77</v>
      </c>
      <c r="AH131" t="s">
        <v>77</v>
      </c>
      <c r="AI131" t="s">
        <v>77</v>
      </c>
      <c r="AJ131" t="s">
        <v>1425</v>
      </c>
    </row>
    <row r="132" spans="1:36" ht="18.75" x14ac:dyDescent="0.25">
      <c r="A132" s="11">
        <f t="shared" si="2"/>
        <v>2.9411764705882359E-2</v>
      </c>
      <c r="B132" s="13" t="str">
        <f t="array" aca="1" ref="B132" ca="1">OFFSET(C132,,MATCH(TRUE,C132:AJ132&lt;&gt;"",0)-1)</f>
        <v>Closing off the cleaning system</v>
      </c>
      <c r="AF132" t="s">
        <v>1455</v>
      </c>
    </row>
    <row r="133" spans="1:36" ht="18.75" x14ac:dyDescent="0.25">
      <c r="A133" s="11">
        <f t="shared" si="2"/>
        <v>2.9411764705882359E-2</v>
      </c>
      <c r="B133" s="13" t="str">
        <f t="array" aca="1" ref="B133" ca="1">OFFSET(C133,,MATCH(TRUE,C133:AJ133&lt;&gt;"",0)-1)</f>
        <v>Closing off the consumption measurement</v>
      </c>
      <c r="AF133" t="s">
        <v>1456</v>
      </c>
    </row>
    <row r="134" spans="1:36" ht="18.75" x14ac:dyDescent="0.25">
      <c r="A134" s="11">
        <f t="shared" si="2"/>
        <v>0.97058823529411764</v>
      </c>
      <c r="B134" s="13" t="str">
        <f t="array" aca="1" ref="B134" ca="1">OFFSET(C134,,MATCH(TRUE,C134:AJ134&lt;&gt;"",0)-1)</f>
        <v>Subsequent preparation of the machine</v>
      </c>
      <c r="C134" s="8" t="s">
        <v>78</v>
      </c>
      <c r="D134" t="s">
        <v>78</v>
      </c>
      <c r="E134" t="s">
        <v>78</v>
      </c>
      <c r="F134" t="s">
        <v>232</v>
      </c>
      <c r="G134" t="s">
        <v>353</v>
      </c>
      <c r="H134" t="s">
        <v>448</v>
      </c>
      <c r="I134" t="s">
        <v>518</v>
      </c>
      <c r="J134" t="s">
        <v>232</v>
      </c>
      <c r="K134" t="s">
        <v>232</v>
      </c>
      <c r="L134" t="s">
        <v>78</v>
      </c>
      <c r="M134" t="s">
        <v>78</v>
      </c>
      <c r="N134" t="s">
        <v>448</v>
      </c>
      <c r="O134" t="s">
        <v>78</v>
      </c>
      <c r="P134" t="s">
        <v>78</v>
      </c>
      <c r="Q134" t="s">
        <v>78</v>
      </c>
      <c r="R134" t="s">
        <v>1405</v>
      </c>
      <c r="S134" t="s">
        <v>518</v>
      </c>
      <c r="T134" t="s">
        <v>78</v>
      </c>
      <c r="U134" t="s">
        <v>78</v>
      </c>
      <c r="V134" t="s">
        <v>78</v>
      </c>
      <c r="W134" t="s">
        <v>78</v>
      </c>
      <c r="X134" t="s">
        <v>78</v>
      </c>
      <c r="Y134" t="s">
        <v>78</v>
      </c>
      <c r="Z134" t="s">
        <v>78</v>
      </c>
      <c r="AA134" t="s">
        <v>78</v>
      </c>
      <c r="AB134" t="s">
        <v>78</v>
      </c>
      <c r="AC134" t="s">
        <v>78</v>
      </c>
      <c r="AD134" t="s">
        <v>78</v>
      </c>
      <c r="AE134" t="s">
        <v>78</v>
      </c>
      <c r="AG134" t="s">
        <v>78</v>
      </c>
      <c r="AH134" t="s">
        <v>78</v>
      </c>
      <c r="AI134" t="s">
        <v>78</v>
      </c>
      <c r="AJ134" t="s">
        <v>518</v>
      </c>
    </row>
    <row r="135" spans="1:36" ht="18.75" x14ac:dyDescent="0.25">
      <c r="A135" s="11">
        <f t="shared" ref="A135:A198" si="3">(1-COUNTBLANK(C135:AJ135)/COLUMNS(C135:AJ135))</f>
        <v>8.8235294117647078E-2</v>
      </c>
      <c r="B135" s="13" t="str">
        <f t="array" aca="1" ref="B135" ca="1">OFFSET(C135,,MATCH(TRUE,C135:AJ135&lt;&gt;"",0)-1)</f>
        <v>Switching off the data recorder</v>
      </c>
      <c r="C135" s="8" t="s">
        <v>79</v>
      </c>
      <c r="Z135" t="s">
        <v>79</v>
      </c>
      <c r="AC135" t="s">
        <v>79</v>
      </c>
    </row>
    <row r="136" spans="1:36" ht="18.75" x14ac:dyDescent="0.25">
      <c r="A136" s="11">
        <f t="shared" si="3"/>
        <v>1</v>
      </c>
      <c r="B136" s="13" t="str">
        <f t="array" aca="1" ref="B136" ca="1">OFFSET(C136,,MATCH(TRUE,C136:AJ136&lt;&gt;"",0)-1)</f>
        <v>Switching off the control voltage</v>
      </c>
      <c r="C136" s="8" t="s">
        <v>80</v>
      </c>
      <c r="D136" t="s">
        <v>80</v>
      </c>
      <c r="E136" t="s">
        <v>80</v>
      </c>
      <c r="F136" t="s">
        <v>233</v>
      </c>
      <c r="G136" t="s">
        <v>354</v>
      </c>
      <c r="H136" t="s">
        <v>449</v>
      </c>
      <c r="I136" t="s">
        <v>519</v>
      </c>
      <c r="J136" t="s">
        <v>233</v>
      </c>
      <c r="K136" t="s">
        <v>233</v>
      </c>
      <c r="L136" t="s">
        <v>80</v>
      </c>
      <c r="M136" t="s">
        <v>80</v>
      </c>
      <c r="N136" t="s">
        <v>449</v>
      </c>
      <c r="O136" t="s">
        <v>80</v>
      </c>
      <c r="P136" t="s">
        <v>80</v>
      </c>
      <c r="Q136" t="s">
        <v>80</v>
      </c>
      <c r="R136" t="s">
        <v>80</v>
      </c>
      <c r="S136" t="s">
        <v>519</v>
      </c>
      <c r="T136" t="s">
        <v>80</v>
      </c>
      <c r="U136" t="s">
        <v>80</v>
      </c>
      <c r="V136" t="s">
        <v>80</v>
      </c>
      <c r="W136" t="s">
        <v>80</v>
      </c>
      <c r="X136" t="s">
        <v>80</v>
      </c>
      <c r="Y136" t="s">
        <v>80</v>
      </c>
      <c r="Z136" t="s">
        <v>80</v>
      </c>
      <c r="AA136" t="s">
        <v>80</v>
      </c>
      <c r="AB136" t="s">
        <v>80</v>
      </c>
      <c r="AC136" t="s">
        <v>80</v>
      </c>
      <c r="AD136" t="s">
        <v>80</v>
      </c>
      <c r="AE136" t="s">
        <v>80</v>
      </c>
      <c r="AF136" t="s">
        <v>80</v>
      </c>
      <c r="AG136" t="s">
        <v>80</v>
      </c>
      <c r="AH136" t="s">
        <v>80</v>
      </c>
      <c r="AI136" t="s">
        <v>80</v>
      </c>
      <c r="AJ136" t="s">
        <v>519</v>
      </c>
    </row>
    <row r="137" spans="1:36" ht="18.75" x14ac:dyDescent="0.25">
      <c r="A137" s="11">
        <f t="shared" si="3"/>
        <v>1</v>
      </c>
      <c r="B137" s="13" t="str">
        <f t="array" aca="1" ref="B137" ca="1">OFFSET(C137,,MATCH(TRUE,C137:AJ137&lt;&gt;"",0)-1)</f>
        <v>Switching off the power supply</v>
      </c>
      <c r="C137" s="8" t="s">
        <v>81</v>
      </c>
      <c r="D137" t="s">
        <v>81</v>
      </c>
      <c r="E137" t="s">
        <v>81</v>
      </c>
      <c r="F137" t="s">
        <v>234</v>
      </c>
      <c r="G137" t="s">
        <v>355</v>
      </c>
      <c r="H137" t="s">
        <v>450</v>
      </c>
      <c r="I137" t="s">
        <v>234</v>
      </c>
      <c r="J137" t="s">
        <v>234</v>
      </c>
      <c r="K137" t="s">
        <v>234</v>
      </c>
      <c r="L137" t="s">
        <v>81</v>
      </c>
      <c r="M137" t="s">
        <v>81</v>
      </c>
      <c r="N137" t="s">
        <v>450</v>
      </c>
      <c r="O137" t="s">
        <v>81</v>
      </c>
      <c r="P137" t="s">
        <v>81</v>
      </c>
      <c r="Q137" t="s">
        <v>81</v>
      </c>
      <c r="R137" t="s">
        <v>81</v>
      </c>
      <c r="S137" t="s">
        <v>234</v>
      </c>
      <c r="T137" t="s">
        <v>81</v>
      </c>
      <c r="U137" t="s">
        <v>81</v>
      </c>
      <c r="V137" t="s">
        <v>81</v>
      </c>
      <c r="W137" t="s">
        <v>81</v>
      </c>
      <c r="X137" t="s">
        <v>81</v>
      </c>
      <c r="Y137" t="s">
        <v>81</v>
      </c>
      <c r="Z137" t="s">
        <v>81</v>
      </c>
      <c r="AA137" t="s">
        <v>81</v>
      </c>
      <c r="AB137" t="s">
        <v>81</v>
      </c>
      <c r="AC137" t="s">
        <v>81</v>
      </c>
      <c r="AD137" t="s">
        <v>81</v>
      </c>
      <c r="AE137" t="s">
        <v>81</v>
      </c>
      <c r="AF137" t="s">
        <v>81</v>
      </c>
      <c r="AG137" t="s">
        <v>81</v>
      </c>
      <c r="AH137" t="s">
        <v>81</v>
      </c>
      <c r="AI137" t="s">
        <v>81</v>
      </c>
      <c r="AJ137" t="s">
        <v>234</v>
      </c>
    </row>
    <row r="138" spans="1:36" ht="18.75" x14ac:dyDescent="0.25">
      <c r="A138" s="11">
        <f t="shared" si="3"/>
        <v>1</v>
      </c>
      <c r="B138" s="13" t="str">
        <f t="array" aca="1" ref="B138" ca="1">OFFSET(C138,,MATCH(TRUE,C138:AJ138&lt;&gt;"",0)-1)</f>
        <v>Closing the control air supply</v>
      </c>
      <c r="C138" s="8" t="s">
        <v>82</v>
      </c>
      <c r="D138" t="s">
        <v>82</v>
      </c>
      <c r="E138" t="s">
        <v>82</v>
      </c>
      <c r="F138" t="s">
        <v>235</v>
      </c>
      <c r="G138" t="s">
        <v>356</v>
      </c>
      <c r="H138" t="s">
        <v>451</v>
      </c>
      <c r="I138" t="s">
        <v>520</v>
      </c>
      <c r="J138" t="s">
        <v>235</v>
      </c>
      <c r="K138" t="s">
        <v>569</v>
      </c>
      <c r="L138" t="s">
        <v>82</v>
      </c>
      <c r="M138" t="s">
        <v>82</v>
      </c>
      <c r="N138" t="s">
        <v>451</v>
      </c>
      <c r="O138" t="s">
        <v>82</v>
      </c>
      <c r="P138" t="s">
        <v>82</v>
      </c>
      <c r="Q138" t="s">
        <v>82</v>
      </c>
      <c r="R138" t="s">
        <v>82</v>
      </c>
      <c r="S138" t="s">
        <v>1426</v>
      </c>
      <c r="T138" t="s">
        <v>82</v>
      </c>
      <c r="U138" t="s">
        <v>82</v>
      </c>
      <c r="V138" t="s">
        <v>82</v>
      </c>
      <c r="W138" t="s">
        <v>82</v>
      </c>
      <c r="X138" t="s">
        <v>82</v>
      </c>
      <c r="Y138" t="s">
        <v>82</v>
      </c>
      <c r="Z138" t="s">
        <v>82</v>
      </c>
      <c r="AA138" t="s">
        <v>82</v>
      </c>
      <c r="AB138" t="s">
        <v>82</v>
      </c>
      <c r="AC138" t="s">
        <v>82</v>
      </c>
      <c r="AD138" t="s">
        <v>82</v>
      </c>
      <c r="AE138" t="s">
        <v>82</v>
      </c>
      <c r="AF138" t="s">
        <v>82</v>
      </c>
      <c r="AG138" t="s">
        <v>82</v>
      </c>
      <c r="AH138" t="s">
        <v>82</v>
      </c>
      <c r="AI138" t="s">
        <v>82</v>
      </c>
      <c r="AJ138" t="s">
        <v>1426</v>
      </c>
    </row>
    <row r="139" spans="1:36" ht="18.75" x14ac:dyDescent="0.25">
      <c r="A139" s="11">
        <f t="shared" si="3"/>
        <v>1</v>
      </c>
      <c r="B139" s="12" t="str">
        <f t="array" aca="1" ref="B139" ca="1">OFFSET(C139,,MATCH(TRUE,C139:AJ139&lt;&gt;"",0)-1)</f>
        <v>Servicing</v>
      </c>
      <c r="C139" s="9" t="s">
        <v>83</v>
      </c>
      <c r="D139" s="5" t="s">
        <v>83</v>
      </c>
      <c r="E139" s="5" t="s">
        <v>83</v>
      </c>
      <c r="F139" s="5" t="s">
        <v>236</v>
      </c>
      <c r="G139" s="5" t="s">
        <v>357</v>
      </c>
      <c r="H139" s="5" t="s">
        <v>452</v>
      </c>
      <c r="I139" s="5" t="s">
        <v>521</v>
      </c>
      <c r="J139" s="5" t="s">
        <v>236</v>
      </c>
      <c r="K139" s="5" t="s">
        <v>236</v>
      </c>
      <c r="L139" s="5" t="s">
        <v>83</v>
      </c>
      <c r="M139" s="5" t="s">
        <v>83</v>
      </c>
      <c r="N139" s="5" t="s">
        <v>452</v>
      </c>
      <c r="O139" s="5" t="s">
        <v>83</v>
      </c>
      <c r="P139" s="5" t="s">
        <v>83</v>
      </c>
      <c r="Q139" s="5" t="s">
        <v>83</v>
      </c>
      <c r="R139" s="5" t="s">
        <v>83</v>
      </c>
      <c r="S139" s="5" t="s">
        <v>521</v>
      </c>
      <c r="T139" s="5" t="s">
        <v>83</v>
      </c>
      <c r="U139" s="5" t="s">
        <v>83</v>
      </c>
      <c r="V139" s="5" t="s">
        <v>83</v>
      </c>
      <c r="W139" s="5" t="s">
        <v>83</v>
      </c>
      <c r="X139" s="5" t="s">
        <v>83</v>
      </c>
      <c r="Y139" s="5" t="s">
        <v>83</v>
      </c>
      <c r="Z139" s="5" t="s">
        <v>83</v>
      </c>
      <c r="AA139" s="5" t="s">
        <v>83</v>
      </c>
      <c r="AB139" s="5" t="s">
        <v>83</v>
      </c>
      <c r="AC139" s="5" t="s">
        <v>83</v>
      </c>
      <c r="AD139" s="5" t="s">
        <v>83</v>
      </c>
      <c r="AE139" s="5" t="s">
        <v>83</v>
      </c>
      <c r="AF139" s="5" t="s">
        <v>83</v>
      </c>
      <c r="AG139" s="5" t="s">
        <v>83</v>
      </c>
      <c r="AH139" s="5" t="s">
        <v>83</v>
      </c>
      <c r="AI139" s="5" t="s">
        <v>83</v>
      </c>
      <c r="AJ139" s="5" t="s">
        <v>521</v>
      </c>
    </row>
    <row r="140" spans="1:36" ht="18.75" x14ac:dyDescent="0.25">
      <c r="A140" s="11">
        <f t="shared" si="3"/>
        <v>1</v>
      </c>
      <c r="B140" s="13" t="str">
        <f t="array" aca="1" ref="B140" ca="1">OFFSET(C140,,MATCH(TRUE,C140:AJ140&lt;&gt;"",0)-1)</f>
        <v>Adhering to regulations</v>
      </c>
      <c r="C140" s="8" t="s">
        <v>84</v>
      </c>
      <c r="D140" t="s">
        <v>84</v>
      </c>
      <c r="E140" t="s">
        <v>84</v>
      </c>
      <c r="F140" t="s">
        <v>237</v>
      </c>
      <c r="G140" t="s">
        <v>358</v>
      </c>
      <c r="H140" t="s">
        <v>453</v>
      </c>
      <c r="I140" t="s">
        <v>237</v>
      </c>
      <c r="J140" t="s">
        <v>237</v>
      </c>
      <c r="K140" t="s">
        <v>237</v>
      </c>
      <c r="L140" t="s">
        <v>84</v>
      </c>
      <c r="M140" t="s">
        <v>84</v>
      </c>
      <c r="N140" t="s">
        <v>453</v>
      </c>
      <c r="O140" t="s">
        <v>84</v>
      </c>
      <c r="P140" t="s">
        <v>84</v>
      </c>
      <c r="Q140" t="s">
        <v>84</v>
      </c>
      <c r="R140" t="s">
        <v>1406</v>
      </c>
      <c r="S140" t="s">
        <v>237</v>
      </c>
      <c r="T140" t="s">
        <v>84</v>
      </c>
      <c r="U140" t="s">
        <v>84</v>
      </c>
      <c r="V140" t="s">
        <v>84</v>
      </c>
      <c r="W140" t="s">
        <v>84</v>
      </c>
      <c r="X140" t="s">
        <v>84</v>
      </c>
      <c r="Y140" t="s">
        <v>84</v>
      </c>
      <c r="Z140" t="s">
        <v>84</v>
      </c>
      <c r="AA140" t="s">
        <v>84</v>
      </c>
      <c r="AB140" t="s">
        <v>84</v>
      </c>
      <c r="AC140" t="s">
        <v>84</v>
      </c>
      <c r="AD140" t="s">
        <v>84</v>
      </c>
      <c r="AE140" t="s">
        <v>84</v>
      </c>
      <c r="AF140" t="s">
        <v>84</v>
      </c>
      <c r="AG140" t="s">
        <v>84</v>
      </c>
      <c r="AH140" t="s">
        <v>84</v>
      </c>
      <c r="AI140" t="s">
        <v>84</v>
      </c>
      <c r="AJ140" t="s">
        <v>237</v>
      </c>
    </row>
    <row r="141" spans="1:36" ht="18.75" x14ac:dyDescent="0.25">
      <c r="A141" s="11">
        <f t="shared" si="3"/>
        <v>1</v>
      </c>
      <c r="B141" s="13" t="str">
        <f t="array" aca="1" ref="B141" ca="1">OFFSET(C141,,MATCH(TRUE,C141:AJ141&lt;&gt;"",0)-1)</f>
        <v>Disconnecting and securing</v>
      </c>
      <c r="C141" s="8" t="s">
        <v>85</v>
      </c>
      <c r="D141" t="s">
        <v>85</v>
      </c>
      <c r="E141" t="s">
        <v>85</v>
      </c>
      <c r="F141" t="s">
        <v>238</v>
      </c>
      <c r="G141" t="s">
        <v>359</v>
      </c>
      <c r="H141" t="s">
        <v>454</v>
      </c>
      <c r="I141" t="s">
        <v>522</v>
      </c>
      <c r="J141" t="s">
        <v>549</v>
      </c>
      <c r="K141" t="s">
        <v>549</v>
      </c>
      <c r="L141" t="s">
        <v>85</v>
      </c>
      <c r="M141" t="s">
        <v>85</v>
      </c>
      <c r="N141" t="s">
        <v>454</v>
      </c>
      <c r="O141" t="s">
        <v>85</v>
      </c>
      <c r="P141" t="s">
        <v>85</v>
      </c>
      <c r="Q141" t="s">
        <v>85</v>
      </c>
      <c r="R141" t="s">
        <v>85</v>
      </c>
      <c r="S141" t="s">
        <v>1427</v>
      </c>
      <c r="T141" t="s">
        <v>85</v>
      </c>
      <c r="U141" t="s">
        <v>85</v>
      </c>
      <c r="V141" t="s">
        <v>85</v>
      </c>
      <c r="W141" t="s">
        <v>85</v>
      </c>
      <c r="X141" t="s">
        <v>85</v>
      </c>
      <c r="Y141" t="s">
        <v>85</v>
      </c>
      <c r="Z141" t="s">
        <v>85</v>
      </c>
      <c r="AA141" t="s">
        <v>85</v>
      </c>
      <c r="AB141" t="s">
        <v>85</v>
      </c>
      <c r="AC141" t="s">
        <v>85</v>
      </c>
      <c r="AD141" t="s">
        <v>85</v>
      </c>
      <c r="AE141" t="s">
        <v>85</v>
      </c>
      <c r="AF141" t="s">
        <v>85</v>
      </c>
      <c r="AG141" t="s">
        <v>85</v>
      </c>
      <c r="AH141" t="s">
        <v>85</v>
      </c>
      <c r="AI141" t="s">
        <v>85</v>
      </c>
      <c r="AJ141" t="s">
        <v>1427</v>
      </c>
    </row>
    <row r="142" spans="1:36" ht="18.75" x14ac:dyDescent="0.25">
      <c r="A142" s="11">
        <f t="shared" si="3"/>
        <v>1</v>
      </c>
      <c r="B142" s="13" t="str">
        <f t="array" aca="1" ref="B142" ca="1">OFFSET(C142,,MATCH(TRUE,C142:AJ142&lt;&gt;"",0)-1)</f>
        <v>Emptying the machine</v>
      </c>
      <c r="C142" s="8" t="s">
        <v>86</v>
      </c>
      <c r="D142" t="s">
        <v>86</v>
      </c>
      <c r="E142" t="s">
        <v>86</v>
      </c>
      <c r="F142" t="s">
        <v>239</v>
      </c>
      <c r="G142" t="s">
        <v>360</v>
      </c>
      <c r="H142" t="s">
        <v>455</v>
      </c>
      <c r="I142" t="s">
        <v>523</v>
      </c>
      <c r="J142" t="s">
        <v>523</v>
      </c>
      <c r="K142" t="s">
        <v>570</v>
      </c>
      <c r="L142" t="s">
        <v>86</v>
      </c>
      <c r="M142" t="s">
        <v>86</v>
      </c>
      <c r="N142" t="s">
        <v>455</v>
      </c>
      <c r="O142" t="s">
        <v>86</v>
      </c>
      <c r="P142" t="s">
        <v>86</v>
      </c>
      <c r="Q142" t="s">
        <v>86</v>
      </c>
      <c r="R142" t="s">
        <v>86</v>
      </c>
      <c r="S142" t="s">
        <v>523</v>
      </c>
      <c r="T142" t="s">
        <v>86</v>
      </c>
      <c r="U142" t="s">
        <v>86</v>
      </c>
      <c r="V142" t="s">
        <v>86</v>
      </c>
      <c r="W142" t="s">
        <v>86</v>
      </c>
      <c r="X142" t="s">
        <v>86</v>
      </c>
      <c r="Y142" t="s">
        <v>86</v>
      </c>
      <c r="Z142" t="s">
        <v>86</v>
      </c>
      <c r="AA142" t="s">
        <v>86</v>
      </c>
      <c r="AB142" t="s">
        <v>86</v>
      </c>
      <c r="AC142" t="s">
        <v>86</v>
      </c>
      <c r="AD142" t="s">
        <v>86</v>
      </c>
      <c r="AE142" t="s">
        <v>86</v>
      </c>
      <c r="AF142" t="s">
        <v>1457</v>
      </c>
      <c r="AG142" t="s">
        <v>86</v>
      </c>
      <c r="AH142" t="s">
        <v>86</v>
      </c>
      <c r="AI142" t="s">
        <v>86</v>
      </c>
      <c r="AJ142" t="s">
        <v>523</v>
      </c>
    </row>
    <row r="143" spans="1:36" ht="18.75" x14ac:dyDescent="0.25">
      <c r="A143" s="11">
        <f t="shared" si="3"/>
        <v>5.8823529411764719E-2</v>
      </c>
      <c r="B143" s="13" t="str">
        <f t="array" aca="1" ref="B143" ca="1">OFFSET(C143,,MATCH(TRUE,C143:AJ143&lt;&gt;"",0)-1)</f>
        <v>Emptying secured areas</v>
      </c>
      <c r="O143" t="s">
        <v>1378</v>
      </c>
      <c r="AF143" t="s">
        <v>1458</v>
      </c>
    </row>
    <row r="144" spans="1:36" ht="18.75" x14ac:dyDescent="0.25">
      <c r="A144" s="11">
        <f t="shared" si="3"/>
        <v>1</v>
      </c>
      <c r="B144" s="13" t="str">
        <f t="array" aca="1" ref="B144" ca="1">OFFSET(C144,,MATCH(TRUE,C144:AJ144&lt;&gt;"",0)-1)</f>
        <v>Filling the machine with water</v>
      </c>
      <c r="C144" s="8" t="s">
        <v>87</v>
      </c>
      <c r="D144" t="s">
        <v>87</v>
      </c>
      <c r="E144" t="s">
        <v>87</v>
      </c>
      <c r="F144" t="s">
        <v>240</v>
      </c>
      <c r="G144" t="s">
        <v>361</v>
      </c>
      <c r="H144" t="s">
        <v>456</v>
      </c>
      <c r="I144" t="s">
        <v>524</v>
      </c>
      <c r="J144" t="s">
        <v>240</v>
      </c>
      <c r="K144" t="s">
        <v>240</v>
      </c>
      <c r="L144" t="s">
        <v>87</v>
      </c>
      <c r="M144" t="s">
        <v>87</v>
      </c>
      <c r="N144" t="s">
        <v>456</v>
      </c>
      <c r="O144" t="s">
        <v>87</v>
      </c>
      <c r="P144" t="s">
        <v>87</v>
      </c>
      <c r="Q144" t="s">
        <v>87</v>
      </c>
      <c r="R144" t="s">
        <v>87</v>
      </c>
      <c r="S144" t="s">
        <v>524</v>
      </c>
      <c r="T144" t="s">
        <v>87</v>
      </c>
      <c r="U144" t="s">
        <v>87</v>
      </c>
      <c r="V144" t="s">
        <v>87</v>
      </c>
      <c r="W144" t="s">
        <v>87</v>
      </c>
      <c r="X144" t="s">
        <v>87</v>
      </c>
      <c r="Y144" t="s">
        <v>87</v>
      </c>
      <c r="Z144" t="s">
        <v>87</v>
      </c>
      <c r="AA144" t="s">
        <v>87</v>
      </c>
      <c r="AB144" t="s">
        <v>87</v>
      </c>
      <c r="AC144" t="s">
        <v>87</v>
      </c>
      <c r="AD144" t="s">
        <v>87</v>
      </c>
      <c r="AE144" t="s">
        <v>87</v>
      </c>
      <c r="AF144" t="s">
        <v>1459</v>
      </c>
      <c r="AG144" t="s">
        <v>87</v>
      </c>
      <c r="AH144" t="s">
        <v>87</v>
      </c>
      <c r="AI144" t="s">
        <v>87</v>
      </c>
      <c r="AJ144" t="s">
        <v>524</v>
      </c>
    </row>
    <row r="145" spans="1:36" ht="18.75" x14ac:dyDescent="0.25">
      <c r="A145" s="11">
        <f t="shared" si="3"/>
        <v>1</v>
      </c>
      <c r="B145" s="13" t="str">
        <f t="array" aca="1" ref="B145" ca="1">OFFSET(C145,,MATCH(TRUE,C145:AJ145&lt;&gt;"",0)-1)</f>
        <v>Maintenance</v>
      </c>
      <c r="C145" s="8" t="s">
        <v>88</v>
      </c>
      <c r="D145" t="s">
        <v>88</v>
      </c>
      <c r="E145" t="s">
        <v>88</v>
      </c>
      <c r="F145" t="s">
        <v>241</v>
      </c>
      <c r="G145" t="s">
        <v>362</v>
      </c>
      <c r="H145" t="s">
        <v>362</v>
      </c>
      <c r="I145" t="s">
        <v>236</v>
      </c>
      <c r="J145" t="s">
        <v>241</v>
      </c>
      <c r="K145" t="s">
        <v>241</v>
      </c>
      <c r="L145" t="s">
        <v>88</v>
      </c>
      <c r="M145" t="s">
        <v>88</v>
      </c>
      <c r="N145" t="s">
        <v>362</v>
      </c>
      <c r="O145" t="s">
        <v>88</v>
      </c>
      <c r="P145" t="s">
        <v>88</v>
      </c>
      <c r="Q145" t="s">
        <v>88</v>
      </c>
      <c r="R145" t="s">
        <v>88</v>
      </c>
      <c r="S145" t="s">
        <v>236</v>
      </c>
      <c r="T145" t="s">
        <v>88</v>
      </c>
      <c r="U145" t="s">
        <v>88</v>
      </c>
      <c r="V145" t="s">
        <v>88</v>
      </c>
      <c r="W145" t="s">
        <v>88</v>
      </c>
      <c r="X145" t="s">
        <v>88</v>
      </c>
      <c r="Y145" t="s">
        <v>88</v>
      </c>
      <c r="Z145" t="s">
        <v>88</v>
      </c>
      <c r="AA145" t="s">
        <v>88</v>
      </c>
      <c r="AB145" t="s">
        <v>88</v>
      </c>
      <c r="AC145" t="s">
        <v>88</v>
      </c>
      <c r="AD145" t="s">
        <v>88</v>
      </c>
      <c r="AE145" t="s">
        <v>88</v>
      </c>
      <c r="AF145" t="s">
        <v>88</v>
      </c>
      <c r="AG145" t="s">
        <v>88</v>
      </c>
      <c r="AH145" t="s">
        <v>88</v>
      </c>
      <c r="AI145" t="s">
        <v>88</v>
      </c>
      <c r="AJ145" t="s">
        <v>236</v>
      </c>
    </row>
    <row r="146" spans="1:36" ht="18.75" x14ac:dyDescent="0.25">
      <c r="A146" s="11">
        <f t="shared" si="3"/>
        <v>1</v>
      </c>
      <c r="B146" s="13" t="str">
        <f t="array" aca="1" ref="B146" ca="1">OFFSET(C146,,MATCH(TRUE,C146:AJ146&lt;&gt;"",0)-1)</f>
        <v>Safety instructions</v>
      </c>
      <c r="C146" s="8" t="s">
        <v>48</v>
      </c>
      <c r="D146" t="s">
        <v>48</v>
      </c>
      <c r="E146" t="s">
        <v>48</v>
      </c>
      <c r="F146" t="s">
        <v>205</v>
      </c>
      <c r="G146" t="s">
        <v>327</v>
      </c>
      <c r="H146" t="s">
        <v>327</v>
      </c>
      <c r="I146" t="s">
        <v>503</v>
      </c>
      <c r="J146" t="s">
        <v>205</v>
      </c>
      <c r="K146" t="s">
        <v>205</v>
      </c>
      <c r="L146" t="s">
        <v>48</v>
      </c>
      <c r="M146" t="s">
        <v>48</v>
      </c>
      <c r="N146" t="s">
        <v>327</v>
      </c>
      <c r="O146" t="s">
        <v>48</v>
      </c>
      <c r="P146" t="s">
        <v>48</v>
      </c>
      <c r="Q146" t="s">
        <v>48</v>
      </c>
      <c r="R146" t="s">
        <v>48</v>
      </c>
      <c r="S146" t="s">
        <v>503</v>
      </c>
      <c r="T146" t="s">
        <v>48</v>
      </c>
      <c r="U146" t="s">
        <v>48</v>
      </c>
      <c r="V146" t="s">
        <v>48</v>
      </c>
      <c r="W146" t="s">
        <v>48</v>
      </c>
      <c r="X146" t="s">
        <v>48</v>
      </c>
      <c r="Y146" t="s">
        <v>48</v>
      </c>
      <c r="Z146" t="s">
        <v>48</v>
      </c>
      <c r="AA146" t="s">
        <v>48</v>
      </c>
      <c r="AB146" t="s">
        <v>48</v>
      </c>
      <c r="AC146" t="s">
        <v>48</v>
      </c>
      <c r="AD146" t="s">
        <v>48</v>
      </c>
      <c r="AE146" t="s">
        <v>48</v>
      </c>
      <c r="AF146" t="s">
        <v>48</v>
      </c>
      <c r="AG146" t="s">
        <v>48</v>
      </c>
      <c r="AH146" t="s">
        <v>48</v>
      </c>
      <c r="AI146" t="s">
        <v>48</v>
      </c>
      <c r="AJ146" t="s">
        <v>503</v>
      </c>
    </row>
    <row r="147" spans="1:36" ht="18.75" x14ac:dyDescent="0.25">
      <c r="A147" s="11">
        <f t="shared" si="3"/>
        <v>1</v>
      </c>
      <c r="B147" s="13" t="str">
        <f t="array" aca="1" ref="B147" ca="1">OFFSET(C147,,MATCH(TRUE,C147:AJ147&lt;&gt;"",0)-1)</f>
        <v>Notes on maintenance practices</v>
      </c>
      <c r="C147" s="8" t="s">
        <v>89</v>
      </c>
      <c r="D147" t="s">
        <v>89</v>
      </c>
      <c r="E147" t="s">
        <v>89</v>
      </c>
      <c r="F147" t="s">
        <v>242</v>
      </c>
      <c r="G147" t="s">
        <v>363</v>
      </c>
      <c r="H147" t="s">
        <v>363</v>
      </c>
      <c r="I147" t="s">
        <v>525</v>
      </c>
      <c r="J147" t="s">
        <v>242</v>
      </c>
      <c r="K147" t="s">
        <v>242</v>
      </c>
      <c r="L147" t="s">
        <v>89</v>
      </c>
      <c r="M147" t="s">
        <v>89</v>
      </c>
      <c r="N147" t="s">
        <v>363</v>
      </c>
      <c r="O147" t="s">
        <v>89</v>
      </c>
      <c r="P147" t="s">
        <v>89</v>
      </c>
      <c r="Q147" t="s">
        <v>89</v>
      </c>
      <c r="R147" t="s">
        <v>89</v>
      </c>
      <c r="S147" t="s">
        <v>525</v>
      </c>
      <c r="T147" t="s">
        <v>89</v>
      </c>
      <c r="U147" t="s">
        <v>89</v>
      </c>
      <c r="V147" t="s">
        <v>89</v>
      </c>
      <c r="W147" t="s">
        <v>89</v>
      </c>
      <c r="X147" t="s">
        <v>89</v>
      </c>
      <c r="Y147" t="s">
        <v>89</v>
      </c>
      <c r="Z147" t="s">
        <v>89</v>
      </c>
      <c r="AA147" t="s">
        <v>89</v>
      </c>
      <c r="AB147" t="s">
        <v>89</v>
      </c>
      <c r="AC147" t="s">
        <v>89</v>
      </c>
      <c r="AD147" t="s">
        <v>89</v>
      </c>
      <c r="AE147" t="s">
        <v>89</v>
      </c>
      <c r="AF147" t="s">
        <v>89</v>
      </c>
      <c r="AG147" t="s">
        <v>89</v>
      </c>
      <c r="AH147" t="s">
        <v>89</v>
      </c>
      <c r="AI147" t="s">
        <v>89</v>
      </c>
      <c r="AJ147" t="s">
        <v>525</v>
      </c>
    </row>
    <row r="148" spans="1:36" ht="18.75" x14ac:dyDescent="0.25">
      <c r="A148" s="11">
        <f t="shared" si="3"/>
        <v>1</v>
      </c>
      <c r="B148" s="13" t="str">
        <f t="array" aca="1" ref="B148" ca="1">OFFSET(C148,,MATCH(TRUE,C148:AJ148&lt;&gt;"",0)-1)</f>
        <v>Requirements</v>
      </c>
      <c r="C148" s="8" t="s">
        <v>90</v>
      </c>
      <c r="D148" t="s">
        <v>90</v>
      </c>
      <c r="E148" t="s">
        <v>90</v>
      </c>
      <c r="F148" t="s">
        <v>243</v>
      </c>
      <c r="G148" t="s">
        <v>348</v>
      </c>
      <c r="H148" t="s">
        <v>226</v>
      </c>
      <c r="I148" t="s">
        <v>243</v>
      </c>
      <c r="J148" t="s">
        <v>243</v>
      </c>
      <c r="K148" t="s">
        <v>243</v>
      </c>
      <c r="L148" t="s">
        <v>90</v>
      </c>
      <c r="M148" t="s">
        <v>90</v>
      </c>
      <c r="N148" t="s">
        <v>226</v>
      </c>
      <c r="O148" t="s">
        <v>90</v>
      </c>
      <c r="P148" t="s">
        <v>90</v>
      </c>
      <c r="Q148" t="s">
        <v>90</v>
      </c>
      <c r="R148" t="s">
        <v>72</v>
      </c>
      <c r="S148" t="s">
        <v>243</v>
      </c>
      <c r="T148" t="s">
        <v>90</v>
      </c>
      <c r="U148" t="s">
        <v>90</v>
      </c>
      <c r="V148" t="s">
        <v>90</v>
      </c>
      <c r="W148" t="s">
        <v>90</v>
      </c>
      <c r="X148" t="s">
        <v>90</v>
      </c>
      <c r="Y148" t="s">
        <v>90</v>
      </c>
      <c r="Z148" t="s">
        <v>90</v>
      </c>
      <c r="AA148" t="s">
        <v>90</v>
      </c>
      <c r="AB148" t="s">
        <v>90</v>
      </c>
      <c r="AC148" t="s">
        <v>90</v>
      </c>
      <c r="AD148" t="s">
        <v>90</v>
      </c>
      <c r="AE148" t="s">
        <v>90</v>
      </c>
      <c r="AF148" t="s">
        <v>90</v>
      </c>
      <c r="AG148" t="s">
        <v>90</v>
      </c>
      <c r="AH148" t="s">
        <v>90</v>
      </c>
      <c r="AI148" t="s">
        <v>90</v>
      </c>
      <c r="AJ148" t="s">
        <v>243</v>
      </c>
    </row>
    <row r="149" spans="1:36" ht="18.75" x14ac:dyDescent="0.25">
      <c r="A149" s="11">
        <f t="shared" si="3"/>
        <v>5.8823529411764719E-2</v>
      </c>
      <c r="B149" s="13" t="str">
        <f t="array" aca="1" ref="B149" ca="1">OFFSET(C149,,MATCH(TRUE,C149:AJ149&lt;&gt;"",0)-1)</f>
        <v>Preparar</v>
      </c>
      <c r="C149" s="8"/>
      <c r="F149" t="s">
        <v>227</v>
      </c>
      <c r="I149" t="s">
        <v>227</v>
      </c>
    </row>
    <row r="150" spans="1:36" ht="18.75" x14ac:dyDescent="0.25">
      <c r="A150" s="11">
        <f t="shared" si="3"/>
        <v>1</v>
      </c>
      <c r="B150" s="13" t="str">
        <f t="array" aca="1" ref="B150" ca="1">OFFSET(C150,,MATCH(TRUE,C150:AJ150&lt;&gt;"",0)-1)</f>
        <v>Maintenance schedule</v>
      </c>
      <c r="C150" s="8" t="s">
        <v>91</v>
      </c>
      <c r="D150" t="s">
        <v>91</v>
      </c>
      <c r="E150" t="s">
        <v>91</v>
      </c>
      <c r="F150" t="s">
        <v>244</v>
      </c>
      <c r="G150" t="s">
        <v>364</v>
      </c>
      <c r="H150" t="s">
        <v>364</v>
      </c>
      <c r="I150" t="s">
        <v>526</v>
      </c>
      <c r="J150" t="s">
        <v>244</v>
      </c>
      <c r="K150" t="s">
        <v>244</v>
      </c>
      <c r="L150" t="s">
        <v>91</v>
      </c>
      <c r="M150" t="s">
        <v>91</v>
      </c>
      <c r="N150" t="s">
        <v>364</v>
      </c>
      <c r="O150" t="s">
        <v>91</v>
      </c>
      <c r="P150" t="s">
        <v>91</v>
      </c>
      <c r="Q150" t="s">
        <v>91</v>
      </c>
      <c r="R150" t="s">
        <v>91</v>
      </c>
      <c r="S150" t="s">
        <v>526</v>
      </c>
      <c r="T150" t="s">
        <v>91</v>
      </c>
      <c r="U150" t="s">
        <v>91</v>
      </c>
      <c r="V150" t="s">
        <v>91</v>
      </c>
      <c r="W150" t="s">
        <v>91</v>
      </c>
      <c r="X150" t="s">
        <v>91</v>
      </c>
      <c r="Y150" t="s">
        <v>91</v>
      </c>
      <c r="Z150" t="s">
        <v>91</v>
      </c>
      <c r="AA150" t="s">
        <v>91</v>
      </c>
      <c r="AB150" t="s">
        <v>91</v>
      </c>
      <c r="AC150" t="s">
        <v>91</v>
      </c>
      <c r="AD150" t="s">
        <v>91</v>
      </c>
      <c r="AE150" t="s">
        <v>91</v>
      </c>
      <c r="AF150" t="s">
        <v>91</v>
      </c>
      <c r="AG150" t="s">
        <v>91</v>
      </c>
      <c r="AH150" t="s">
        <v>91</v>
      </c>
      <c r="AI150" t="s">
        <v>91</v>
      </c>
      <c r="AJ150" t="s">
        <v>526</v>
      </c>
    </row>
    <row r="151" spans="1:36" ht="18.75" x14ac:dyDescent="0.25">
      <c r="A151" s="11">
        <f t="shared" si="3"/>
        <v>1</v>
      </c>
      <c r="B151" s="13" t="str">
        <f t="array" aca="1" ref="B151" ca="1">OFFSET(C151,,MATCH(TRUE,C151:AJ151&lt;&gt;"",0)-1)</f>
        <v>Checking the function of the emergency stop switch</v>
      </c>
      <c r="C151" s="8" t="s">
        <v>92</v>
      </c>
      <c r="D151" t="s">
        <v>92</v>
      </c>
      <c r="E151" t="s">
        <v>92</v>
      </c>
      <c r="F151" t="s">
        <v>245</v>
      </c>
      <c r="G151" t="s">
        <v>365</v>
      </c>
      <c r="H151" t="s">
        <v>457</v>
      </c>
      <c r="I151" t="s">
        <v>527</v>
      </c>
      <c r="J151" t="s">
        <v>245</v>
      </c>
      <c r="K151" t="s">
        <v>571</v>
      </c>
      <c r="L151" t="s">
        <v>92</v>
      </c>
      <c r="M151" t="s">
        <v>92</v>
      </c>
      <c r="N151" t="s">
        <v>457</v>
      </c>
      <c r="O151" t="s">
        <v>92</v>
      </c>
      <c r="P151" t="s">
        <v>92</v>
      </c>
      <c r="Q151" t="s">
        <v>92</v>
      </c>
      <c r="R151" t="s">
        <v>1407</v>
      </c>
      <c r="S151" t="s">
        <v>527</v>
      </c>
      <c r="T151" t="s">
        <v>92</v>
      </c>
      <c r="U151" t="s">
        <v>92</v>
      </c>
      <c r="V151" t="s">
        <v>92</v>
      </c>
      <c r="W151" t="s">
        <v>92</v>
      </c>
      <c r="X151" t="s">
        <v>92</v>
      </c>
      <c r="Y151" t="s">
        <v>92</v>
      </c>
      <c r="Z151" t="s">
        <v>92</v>
      </c>
      <c r="AA151" t="s">
        <v>92</v>
      </c>
      <c r="AB151" t="s">
        <v>92</v>
      </c>
      <c r="AC151" t="s">
        <v>92</v>
      </c>
      <c r="AD151" t="s">
        <v>92</v>
      </c>
      <c r="AE151" t="s">
        <v>92</v>
      </c>
      <c r="AF151" t="s">
        <v>92</v>
      </c>
      <c r="AG151" t="s">
        <v>92</v>
      </c>
      <c r="AH151" t="s">
        <v>92</v>
      </c>
      <c r="AI151" t="s">
        <v>92</v>
      </c>
      <c r="AJ151" t="s">
        <v>527</v>
      </c>
    </row>
    <row r="152" spans="1:36" ht="18.75" x14ac:dyDescent="0.25">
      <c r="A152" s="11">
        <f t="shared" si="3"/>
        <v>0.1470588235294118</v>
      </c>
      <c r="B152" s="13" t="str">
        <f t="array" aca="1" ref="B152" ca="1">OFFSET(C152,,MATCH(TRUE,C152:AJ152&lt;&gt;"",0)-1)</f>
        <v>Servicing the pressure tank</v>
      </c>
      <c r="C152" s="8" t="s">
        <v>93</v>
      </c>
      <c r="I152" t="s">
        <v>528</v>
      </c>
      <c r="K152" t="s">
        <v>572</v>
      </c>
      <c r="Z152" t="s">
        <v>93</v>
      </c>
      <c r="AC152" t="s">
        <v>93</v>
      </c>
    </row>
    <row r="153" spans="1:36" ht="18.75" x14ac:dyDescent="0.25">
      <c r="A153" s="11">
        <f t="shared" si="3"/>
        <v>0.97058823529411764</v>
      </c>
      <c r="B153" s="13" t="str">
        <f t="array" aca="1" ref="B153" ca="1">OFFSET(C153,,MATCH(TRUE,C153:AJ153&lt;&gt;"",0)-1)</f>
        <v>Performing a lamp test</v>
      </c>
      <c r="C153" s="8" t="s">
        <v>94</v>
      </c>
      <c r="D153" t="s">
        <v>94</v>
      </c>
      <c r="E153" t="s">
        <v>94</v>
      </c>
      <c r="F153" t="s">
        <v>246</v>
      </c>
      <c r="G153" t="s">
        <v>366</v>
      </c>
      <c r="H153" t="s">
        <v>458</v>
      </c>
      <c r="I153" t="s">
        <v>529</v>
      </c>
      <c r="J153" t="s">
        <v>246</v>
      </c>
      <c r="K153" t="s">
        <v>246</v>
      </c>
      <c r="L153" t="s">
        <v>94</v>
      </c>
      <c r="M153" t="s">
        <v>94</v>
      </c>
      <c r="N153" t="s">
        <v>458</v>
      </c>
      <c r="P153" t="s">
        <v>94</v>
      </c>
      <c r="Q153" t="s">
        <v>94</v>
      </c>
      <c r="R153" t="s">
        <v>1408</v>
      </c>
      <c r="S153" t="s">
        <v>529</v>
      </c>
      <c r="T153" t="s">
        <v>94</v>
      </c>
      <c r="U153" t="s">
        <v>94</v>
      </c>
      <c r="V153" t="s">
        <v>94</v>
      </c>
      <c r="W153" t="s">
        <v>94</v>
      </c>
      <c r="X153" t="s">
        <v>94</v>
      </c>
      <c r="Y153" t="s">
        <v>94</v>
      </c>
      <c r="Z153" t="s">
        <v>94</v>
      </c>
      <c r="AA153" t="s">
        <v>94</v>
      </c>
      <c r="AB153" t="s">
        <v>94</v>
      </c>
      <c r="AC153" t="s">
        <v>94</v>
      </c>
      <c r="AD153" t="s">
        <v>94</v>
      </c>
      <c r="AE153" t="s">
        <v>94</v>
      </c>
      <c r="AF153" t="s">
        <v>94</v>
      </c>
      <c r="AG153" t="s">
        <v>94</v>
      </c>
      <c r="AH153" t="s">
        <v>94</v>
      </c>
      <c r="AI153" t="s">
        <v>94</v>
      </c>
      <c r="AJ153" t="s">
        <v>529</v>
      </c>
    </row>
    <row r="154" spans="1:36" ht="18.75" x14ac:dyDescent="0.25">
      <c r="A154" s="11">
        <f t="shared" si="3"/>
        <v>8.8235294117647078E-2</v>
      </c>
      <c r="B154" s="13" t="str">
        <f t="array" aca="1" ref="B154" ca="1">OFFSET(C154,,MATCH(TRUE,C154:AJ154&lt;&gt;"",0)-1)</f>
        <v>Maintaining the dirt collecting filter in the primary feed</v>
      </c>
      <c r="P154" t="s">
        <v>1384</v>
      </c>
      <c r="Q154" t="s">
        <v>1384</v>
      </c>
      <c r="AE154" t="s">
        <v>1384</v>
      </c>
    </row>
    <row r="155" spans="1:36" ht="18.75" x14ac:dyDescent="0.25">
      <c r="A155" s="11">
        <f t="shared" si="3"/>
        <v>2.9411764705882359E-2</v>
      </c>
      <c r="B155" s="13" t="str">
        <f t="array" aca="1" ref="B155" ca="1">OFFSET(C155,,MATCH(TRUE,C155:AJ155&lt;&gt;"",0)-1)</f>
        <v>Servicing the dirt collecting filter in the return</v>
      </c>
      <c r="P155" t="s">
        <v>1385</v>
      </c>
    </row>
    <row r="156" spans="1:36" ht="18.75" x14ac:dyDescent="0.25">
      <c r="A156" s="11">
        <f t="shared" si="3"/>
        <v>1</v>
      </c>
      <c r="B156" s="13" t="str">
        <f t="array" aca="1" ref="B156" ca="1">OFFSET(C156,,MATCH(TRUE,C156:AJ156&lt;&gt;"",0)-1)</f>
        <v>Maintaining seals</v>
      </c>
      <c r="C156" s="8" t="s">
        <v>95</v>
      </c>
      <c r="D156" t="s">
        <v>95</v>
      </c>
      <c r="E156" t="s">
        <v>148</v>
      </c>
      <c r="F156" t="s">
        <v>247</v>
      </c>
      <c r="G156" t="s">
        <v>367</v>
      </c>
      <c r="H156" t="s">
        <v>459</v>
      </c>
      <c r="I156" t="s">
        <v>530</v>
      </c>
      <c r="J156" t="s">
        <v>247</v>
      </c>
      <c r="K156" t="s">
        <v>247</v>
      </c>
      <c r="L156" t="s">
        <v>148</v>
      </c>
      <c r="M156" t="s">
        <v>148</v>
      </c>
      <c r="N156" t="s">
        <v>459</v>
      </c>
      <c r="O156" t="s">
        <v>148</v>
      </c>
      <c r="P156" t="s">
        <v>148</v>
      </c>
      <c r="Q156" t="s">
        <v>148</v>
      </c>
      <c r="R156" t="s">
        <v>1409</v>
      </c>
      <c r="S156" t="s">
        <v>530</v>
      </c>
      <c r="T156" t="s">
        <v>95</v>
      </c>
      <c r="U156" t="s">
        <v>95</v>
      </c>
      <c r="V156" t="s">
        <v>95</v>
      </c>
      <c r="W156" t="s">
        <v>95</v>
      </c>
      <c r="X156" t="s">
        <v>95</v>
      </c>
      <c r="Y156" t="s">
        <v>95</v>
      </c>
      <c r="Z156" t="s">
        <v>95</v>
      </c>
      <c r="AA156" t="s">
        <v>95</v>
      </c>
      <c r="AB156" t="s">
        <v>95</v>
      </c>
      <c r="AC156" t="s">
        <v>95</v>
      </c>
      <c r="AD156" t="s">
        <v>95</v>
      </c>
      <c r="AE156" t="s">
        <v>95</v>
      </c>
      <c r="AF156" t="s">
        <v>95</v>
      </c>
      <c r="AG156" t="s">
        <v>95</v>
      </c>
      <c r="AH156" t="s">
        <v>95</v>
      </c>
      <c r="AI156" t="s">
        <v>95</v>
      </c>
      <c r="AJ156" t="s">
        <v>530</v>
      </c>
    </row>
    <row r="157" spans="1:36" ht="18.75" x14ac:dyDescent="0.25">
      <c r="A157" s="11">
        <f t="shared" si="3"/>
        <v>1</v>
      </c>
      <c r="B157" s="13" t="str">
        <f t="array" aca="1" ref="B157" ca="1">OFFSET(C157,,MATCH(TRUE,C157:AJ157&lt;&gt;"",0)-1)</f>
        <v>Tighten the milk pipe joints</v>
      </c>
      <c r="C157" s="8" t="s">
        <v>96</v>
      </c>
      <c r="D157" t="s">
        <v>96</v>
      </c>
      <c r="E157" t="s">
        <v>96</v>
      </c>
      <c r="F157" t="s">
        <v>248</v>
      </c>
      <c r="G157" t="s">
        <v>368</v>
      </c>
      <c r="H157" t="s">
        <v>460</v>
      </c>
      <c r="I157" t="s">
        <v>531</v>
      </c>
      <c r="J157" t="s">
        <v>248</v>
      </c>
      <c r="K157" t="s">
        <v>248</v>
      </c>
      <c r="L157" t="s">
        <v>96</v>
      </c>
      <c r="M157" t="s">
        <v>96</v>
      </c>
      <c r="N157" t="s">
        <v>460</v>
      </c>
      <c r="O157" t="s">
        <v>96</v>
      </c>
      <c r="P157" t="s">
        <v>96</v>
      </c>
      <c r="Q157" t="s">
        <v>96</v>
      </c>
      <c r="R157" t="s">
        <v>1410</v>
      </c>
      <c r="S157" t="s">
        <v>1428</v>
      </c>
      <c r="T157" t="s">
        <v>96</v>
      </c>
      <c r="U157" t="s">
        <v>96</v>
      </c>
      <c r="V157" t="s">
        <v>96</v>
      </c>
      <c r="W157" t="s">
        <v>96</v>
      </c>
      <c r="X157" t="s">
        <v>96</v>
      </c>
      <c r="Y157" t="s">
        <v>96</v>
      </c>
      <c r="Z157" t="s">
        <v>96</v>
      </c>
      <c r="AA157" t="s">
        <v>96</v>
      </c>
      <c r="AB157" t="s">
        <v>96</v>
      </c>
      <c r="AC157" t="s">
        <v>96</v>
      </c>
      <c r="AD157" t="s">
        <v>96</v>
      </c>
      <c r="AE157" t="s">
        <v>96</v>
      </c>
      <c r="AF157" t="s">
        <v>96</v>
      </c>
      <c r="AG157" t="s">
        <v>96</v>
      </c>
      <c r="AH157" t="s">
        <v>96</v>
      </c>
      <c r="AI157" t="s">
        <v>96</v>
      </c>
      <c r="AJ157" t="s">
        <v>1428</v>
      </c>
    </row>
    <row r="158" spans="1:36" ht="18.75" x14ac:dyDescent="0.25">
      <c r="A158" s="11">
        <f t="shared" si="3"/>
        <v>1</v>
      </c>
      <c r="B158" s="13" t="str">
        <f t="array" aca="1" ref="B158" ca="1">OFFSET(C158,,MATCH(TRUE,C158:AJ158&lt;&gt;"",0)-1)</f>
        <v>Maintaining purchased parts</v>
      </c>
      <c r="C158" s="8" t="s">
        <v>97</v>
      </c>
      <c r="D158" t="s">
        <v>97</v>
      </c>
      <c r="E158" t="s">
        <v>97</v>
      </c>
      <c r="F158" t="s">
        <v>249</v>
      </c>
      <c r="G158" t="s">
        <v>369</v>
      </c>
      <c r="H158" t="s">
        <v>461</v>
      </c>
      <c r="I158" t="s">
        <v>532</v>
      </c>
      <c r="J158" t="s">
        <v>249</v>
      </c>
      <c r="K158" t="s">
        <v>249</v>
      </c>
      <c r="L158" t="s">
        <v>97</v>
      </c>
      <c r="M158" t="s">
        <v>97</v>
      </c>
      <c r="N158" t="s">
        <v>461</v>
      </c>
      <c r="O158" t="s">
        <v>97</v>
      </c>
      <c r="P158" t="s">
        <v>97</v>
      </c>
      <c r="Q158" t="s">
        <v>97</v>
      </c>
      <c r="R158" t="s">
        <v>97</v>
      </c>
      <c r="S158" t="s">
        <v>532</v>
      </c>
      <c r="T158" t="s">
        <v>97</v>
      </c>
      <c r="U158" t="s">
        <v>97</v>
      </c>
      <c r="V158" t="s">
        <v>97</v>
      </c>
      <c r="W158" t="s">
        <v>97</v>
      </c>
      <c r="X158" t="s">
        <v>97</v>
      </c>
      <c r="Y158" t="s">
        <v>97</v>
      </c>
      <c r="Z158" t="s">
        <v>97</v>
      </c>
      <c r="AA158" t="s">
        <v>97</v>
      </c>
      <c r="AB158" t="s">
        <v>97</v>
      </c>
      <c r="AC158" t="s">
        <v>97</v>
      </c>
      <c r="AD158" t="s">
        <v>97</v>
      </c>
      <c r="AE158" t="s">
        <v>97</v>
      </c>
      <c r="AF158" t="s">
        <v>97</v>
      </c>
      <c r="AG158" t="s">
        <v>97</v>
      </c>
      <c r="AH158" t="s">
        <v>97</v>
      </c>
      <c r="AI158" t="s">
        <v>97</v>
      </c>
      <c r="AJ158" t="s">
        <v>532</v>
      </c>
    </row>
    <row r="159" spans="1:36" ht="18.75" x14ac:dyDescent="0.25">
      <c r="A159" s="11">
        <f t="shared" si="3"/>
        <v>1</v>
      </c>
      <c r="B159" s="13" t="str">
        <f t="array" aca="1" ref="B159" ca="1">OFFSET(C159,,MATCH(TRUE,C159:AJ159&lt;&gt;"",0)-1)</f>
        <v>Cleaning surfaces</v>
      </c>
      <c r="C159" s="8" t="s">
        <v>98</v>
      </c>
      <c r="D159" t="s">
        <v>98</v>
      </c>
      <c r="E159" t="s">
        <v>98</v>
      </c>
      <c r="F159" t="s">
        <v>250</v>
      </c>
      <c r="G159" t="s">
        <v>370</v>
      </c>
      <c r="H159" t="s">
        <v>462</v>
      </c>
      <c r="I159" t="s">
        <v>250</v>
      </c>
      <c r="J159" t="s">
        <v>250</v>
      </c>
      <c r="K159" t="s">
        <v>250</v>
      </c>
      <c r="L159" t="s">
        <v>98</v>
      </c>
      <c r="M159" t="s">
        <v>98</v>
      </c>
      <c r="N159" t="s">
        <v>462</v>
      </c>
      <c r="O159" t="s">
        <v>98</v>
      </c>
      <c r="P159" t="s">
        <v>98</v>
      </c>
      <c r="Q159" t="s">
        <v>98</v>
      </c>
      <c r="R159" t="s">
        <v>98</v>
      </c>
      <c r="S159" t="s">
        <v>250</v>
      </c>
      <c r="T159" t="s">
        <v>98</v>
      </c>
      <c r="U159" t="s">
        <v>98</v>
      </c>
      <c r="V159" t="s">
        <v>98</v>
      </c>
      <c r="W159" t="s">
        <v>98</v>
      </c>
      <c r="X159" t="s">
        <v>98</v>
      </c>
      <c r="Y159" t="s">
        <v>98</v>
      </c>
      <c r="Z159" t="s">
        <v>98</v>
      </c>
      <c r="AA159" t="s">
        <v>98</v>
      </c>
      <c r="AB159" t="s">
        <v>98</v>
      </c>
      <c r="AC159" t="s">
        <v>98</v>
      </c>
      <c r="AD159" t="s">
        <v>98</v>
      </c>
      <c r="AE159" t="s">
        <v>98</v>
      </c>
      <c r="AF159" t="s">
        <v>98</v>
      </c>
      <c r="AG159" t="s">
        <v>98</v>
      </c>
      <c r="AH159" t="s">
        <v>98</v>
      </c>
      <c r="AI159" t="s">
        <v>98</v>
      </c>
      <c r="AJ159" t="s">
        <v>250</v>
      </c>
    </row>
    <row r="160" spans="1:36" ht="18.75" x14ac:dyDescent="0.25">
      <c r="A160" s="11">
        <f t="shared" si="3"/>
        <v>1</v>
      </c>
      <c r="B160" s="13" t="str">
        <f t="array" aca="1" ref="B160" ca="1">OFFSET(C160,,MATCH(TRUE,C160:AJ160&lt;&gt;"",0)-1)</f>
        <v>Repairs</v>
      </c>
      <c r="C160" s="8" t="s">
        <v>99</v>
      </c>
      <c r="D160" t="s">
        <v>99</v>
      </c>
      <c r="E160" t="s">
        <v>99</v>
      </c>
      <c r="F160" t="s">
        <v>251</v>
      </c>
      <c r="G160" t="s">
        <v>371</v>
      </c>
      <c r="H160" t="s">
        <v>371</v>
      </c>
      <c r="I160" t="s">
        <v>533</v>
      </c>
      <c r="J160" t="s">
        <v>251</v>
      </c>
      <c r="K160" t="s">
        <v>251</v>
      </c>
      <c r="L160" t="s">
        <v>99</v>
      </c>
      <c r="M160" t="s">
        <v>99</v>
      </c>
      <c r="N160" t="s">
        <v>371</v>
      </c>
      <c r="O160" t="s">
        <v>99</v>
      </c>
      <c r="P160" t="s">
        <v>99</v>
      </c>
      <c r="Q160" t="s">
        <v>99</v>
      </c>
      <c r="R160" t="s">
        <v>99</v>
      </c>
      <c r="S160" t="s">
        <v>533</v>
      </c>
      <c r="T160" t="s">
        <v>99</v>
      </c>
      <c r="U160" t="s">
        <v>99</v>
      </c>
      <c r="V160" t="s">
        <v>99</v>
      </c>
      <c r="W160" t="s">
        <v>99</v>
      </c>
      <c r="X160" t="s">
        <v>99</v>
      </c>
      <c r="Y160" t="s">
        <v>99</v>
      </c>
      <c r="Z160" t="s">
        <v>99</v>
      </c>
      <c r="AA160" t="s">
        <v>99</v>
      </c>
      <c r="AB160" t="s">
        <v>99</v>
      </c>
      <c r="AC160" t="s">
        <v>99</v>
      </c>
      <c r="AD160" t="s">
        <v>99</v>
      </c>
      <c r="AE160" t="s">
        <v>99</v>
      </c>
      <c r="AF160" t="s">
        <v>99</v>
      </c>
      <c r="AG160" t="s">
        <v>99</v>
      </c>
      <c r="AH160" t="s">
        <v>99</v>
      </c>
      <c r="AI160" t="s">
        <v>99</v>
      </c>
      <c r="AJ160" t="s">
        <v>533</v>
      </c>
    </row>
    <row r="161" spans="1:36" ht="18.75" x14ac:dyDescent="0.25">
      <c r="A161" s="11">
        <f t="shared" si="3"/>
        <v>1</v>
      </c>
      <c r="B161" s="12" t="str">
        <f t="array" aca="1" ref="B161" ca="1">OFFSET(C161,,MATCH(TRUE,C161:AJ161&lt;&gt;"",0)-1)</f>
        <v>Faults</v>
      </c>
      <c r="C161" s="9" t="s">
        <v>100</v>
      </c>
      <c r="D161" s="5" t="s">
        <v>100</v>
      </c>
      <c r="E161" s="5" t="s">
        <v>100</v>
      </c>
      <c r="F161" s="5" t="s">
        <v>252</v>
      </c>
      <c r="G161" s="5" t="s">
        <v>372</v>
      </c>
      <c r="H161" s="5" t="s">
        <v>463</v>
      </c>
      <c r="I161" s="5" t="s">
        <v>534</v>
      </c>
      <c r="J161" s="5" t="s">
        <v>252</v>
      </c>
      <c r="K161" s="5" t="s">
        <v>252</v>
      </c>
      <c r="L161" s="5" t="s">
        <v>100</v>
      </c>
      <c r="M161" s="5" t="s">
        <v>100</v>
      </c>
      <c r="N161" s="5" t="s">
        <v>463</v>
      </c>
      <c r="O161" s="5" t="s">
        <v>100</v>
      </c>
      <c r="P161" s="5" t="s">
        <v>100</v>
      </c>
      <c r="Q161" s="5" t="s">
        <v>100</v>
      </c>
      <c r="R161" s="5" t="s">
        <v>100</v>
      </c>
      <c r="S161" s="5" t="s">
        <v>534</v>
      </c>
      <c r="T161" s="5" t="s">
        <v>100</v>
      </c>
      <c r="U161" s="5" t="s">
        <v>100</v>
      </c>
      <c r="V161" s="5" t="s">
        <v>100</v>
      </c>
      <c r="W161" s="5" t="s">
        <v>100</v>
      </c>
      <c r="X161" s="5" t="s">
        <v>100</v>
      </c>
      <c r="Y161" s="5" t="s">
        <v>100</v>
      </c>
      <c r="Z161" s="5" t="s">
        <v>100</v>
      </c>
      <c r="AA161" s="5" t="s">
        <v>100</v>
      </c>
      <c r="AB161" s="5" t="s">
        <v>100</v>
      </c>
      <c r="AC161" s="5" t="s">
        <v>100</v>
      </c>
      <c r="AD161" s="5" t="s">
        <v>100</v>
      </c>
      <c r="AE161" s="5" t="s">
        <v>100</v>
      </c>
      <c r="AF161" s="5" t="s">
        <v>100</v>
      </c>
      <c r="AG161" s="5" t="s">
        <v>100</v>
      </c>
      <c r="AH161" s="5" t="s">
        <v>100</v>
      </c>
      <c r="AI161" s="5" t="s">
        <v>100</v>
      </c>
      <c r="AJ161" s="5" t="s">
        <v>534</v>
      </c>
    </row>
    <row r="162" spans="1:36" ht="18.75" x14ac:dyDescent="0.25">
      <c r="A162" s="11">
        <f t="shared" si="3"/>
        <v>1</v>
      </c>
      <c r="B162" s="13" t="str">
        <f t="array" aca="1" ref="B162" ca="1">OFFSET(C162,,MATCH(TRUE,C162:AJ162&lt;&gt;"",0)-1)</f>
        <v>Safety instructions</v>
      </c>
      <c r="C162" s="8" t="s">
        <v>48</v>
      </c>
      <c r="D162" t="s">
        <v>48</v>
      </c>
      <c r="E162" t="s">
        <v>48</v>
      </c>
      <c r="F162" t="s">
        <v>205</v>
      </c>
      <c r="G162" t="s">
        <v>327</v>
      </c>
      <c r="H162" t="s">
        <v>327</v>
      </c>
      <c r="I162" t="s">
        <v>503</v>
      </c>
      <c r="J162" t="s">
        <v>205</v>
      </c>
      <c r="K162" t="s">
        <v>205</v>
      </c>
      <c r="L162" t="s">
        <v>48</v>
      </c>
      <c r="M162" t="s">
        <v>48</v>
      </c>
      <c r="N162" t="s">
        <v>327</v>
      </c>
      <c r="O162" t="s">
        <v>48</v>
      </c>
      <c r="P162" t="s">
        <v>48</v>
      </c>
      <c r="Q162" t="s">
        <v>48</v>
      </c>
      <c r="R162" t="s">
        <v>48</v>
      </c>
      <c r="S162" t="s">
        <v>503</v>
      </c>
      <c r="T162" t="s">
        <v>48</v>
      </c>
      <c r="U162" t="s">
        <v>48</v>
      </c>
      <c r="V162" t="s">
        <v>48</v>
      </c>
      <c r="W162" t="s">
        <v>48</v>
      </c>
      <c r="X162" t="s">
        <v>48</v>
      </c>
      <c r="Y162" t="s">
        <v>48</v>
      </c>
      <c r="Z162" t="s">
        <v>48</v>
      </c>
      <c r="AA162" t="s">
        <v>48</v>
      </c>
      <c r="AB162" t="s">
        <v>48</v>
      </c>
      <c r="AC162" t="s">
        <v>48</v>
      </c>
      <c r="AD162" t="s">
        <v>48</v>
      </c>
      <c r="AE162" t="s">
        <v>48</v>
      </c>
      <c r="AF162" t="s">
        <v>48</v>
      </c>
      <c r="AG162" t="s">
        <v>48</v>
      </c>
      <c r="AH162" t="s">
        <v>48</v>
      </c>
      <c r="AI162" t="s">
        <v>48</v>
      </c>
      <c r="AJ162" t="s">
        <v>503</v>
      </c>
    </row>
    <row r="163" spans="1:36" ht="18.75" x14ac:dyDescent="0.25">
      <c r="A163" s="11">
        <f t="shared" si="3"/>
        <v>1</v>
      </c>
      <c r="B163" s="13" t="str">
        <f t="array" aca="1" ref="B163" ca="1">OFFSET(C163,,MATCH(TRUE,C163:AJ163&lt;&gt;"",0)-1)</f>
        <v>Detecting faults</v>
      </c>
      <c r="C163" s="8" t="s">
        <v>101</v>
      </c>
      <c r="D163" t="s">
        <v>101</v>
      </c>
      <c r="E163" t="s">
        <v>101</v>
      </c>
      <c r="F163" t="s">
        <v>253</v>
      </c>
      <c r="G163" t="s">
        <v>373</v>
      </c>
      <c r="H163" t="s">
        <v>373</v>
      </c>
      <c r="I163" t="s">
        <v>535</v>
      </c>
      <c r="J163" t="s">
        <v>253</v>
      </c>
      <c r="K163" t="s">
        <v>253</v>
      </c>
      <c r="L163" t="s">
        <v>101</v>
      </c>
      <c r="M163" t="s">
        <v>101</v>
      </c>
      <c r="N163" t="s">
        <v>373</v>
      </c>
      <c r="O163" t="s">
        <v>101</v>
      </c>
      <c r="P163" t="s">
        <v>101</v>
      </c>
      <c r="Q163" t="s">
        <v>101</v>
      </c>
      <c r="R163" t="s">
        <v>101</v>
      </c>
      <c r="S163" t="s">
        <v>535</v>
      </c>
      <c r="T163" t="s">
        <v>101</v>
      </c>
      <c r="U163" t="s">
        <v>101</v>
      </c>
      <c r="V163" t="s">
        <v>101</v>
      </c>
      <c r="W163" t="s">
        <v>101</v>
      </c>
      <c r="X163" t="s">
        <v>101</v>
      </c>
      <c r="Y163" t="s">
        <v>101</v>
      </c>
      <c r="Z163" t="s">
        <v>101</v>
      </c>
      <c r="AA163" t="s">
        <v>101</v>
      </c>
      <c r="AB163" t="s">
        <v>101</v>
      </c>
      <c r="AC163" t="s">
        <v>101</v>
      </c>
      <c r="AD163" t="s">
        <v>101</v>
      </c>
      <c r="AE163" t="s">
        <v>101</v>
      </c>
      <c r="AF163" t="s">
        <v>101</v>
      </c>
      <c r="AG163" t="s">
        <v>101</v>
      </c>
      <c r="AH163" t="s">
        <v>101</v>
      </c>
      <c r="AI163" t="s">
        <v>101</v>
      </c>
      <c r="AJ163" t="s">
        <v>535</v>
      </c>
    </row>
    <row r="164" spans="1:36" ht="18.75" x14ac:dyDescent="0.25">
      <c r="A164" s="11">
        <f t="shared" si="3"/>
        <v>1</v>
      </c>
      <c r="B164" s="13" t="str">
        <f t="array" aca="1" ref="B164" ca="1">OFFSET(C164,,MATCH(TRUE,C164:AJ164&lt;&gt;"",0)-1)</f>
        <v>Rectifying faults</v>
      </c>
      <c r="C164" s="8" t="s">
        <v>102</v>
      </c>
      <c r="D164" t="s">
        <v>102</v>
      </c>
      <c r="E164" t="s">
        <v>102</v>
      </c>
      <c r="F164" t="s">
        <v>254</v>
      </c>
      <c r="G164" t="s">
        <v>374</v>
      </c>
      <c r="H164" t="s">
        <v>464</v>
      </c>
      <c r="I164" t="s">
        <v>254</v>
      </c>
      <c r="J164" t="s">
        <v>254</v>
      </c>
      <c r="K164" t="s">
        <v>254</v>
      </c>
      <c r="L164" t="s">
        <v>102</v>
      </c>
      <c r="M164" t="s">
        <v>102</v>
      </c>
      <c r="N164" t="s">
        <v>464</v>
      </c>
      <c r="O164" t="s">
        <v>102</v>
      </c>
      <c r="P164" t="s">
        <v>102</v>
      </c>
      <c r="Q164" t="s">
        <v>102</v>
      </c>
      <c r="R164" t="s">
        <v>1411</v>
      </c>
      <c r="S164" t="s">
        <v>254</v>
      </c>
      <c r="T164" t="s">
        <v>102</v>
      </c>
      <c r="U164" t="s">
        <v>102</v>
      </c>
      <c r="V164" t="s">
        <v>102</v>
      </c>
      <c r="W164" t="s">
        <v>102</v>
      </c>
      <c r="X164" t="s">
        <v>102</v>
      </c>
      <c r="Y164" t="s">
        <v>102</v>
      </c>
      <c r="Z164" t="s">
        <v>102</v>
      </c>
      <c r="AA164" t="s">
        <v>102</v>
      </c>
      <c r="AB164" t="s">
        <v>102</v>
      </c>
      <c r="AC164" t="s">
        <v>102</v>
      </c>
      <c r="AD164" t="s">
        <v>102</v>
      </c>
      <c r="AE164" t="s">
        <v>102</v>
      </c>
      <c r="AF164" t="s">
        <v>102</v>
      </c>
      <c r="AG164" t="s">
        <v>102</v>
      </c>
      <c r="AH164" t="s">
        <v>102</v>
      </c>
      <c r="AI164" t="s">
        <v>102</v>
      </c>
      <c r="AJ164" t="s">
        <v>254</v>
      </c>
    </row>
    <row r="165" spans="1:36" ht="18.75" x14ac:dyDescent="0.25">
      <c r="A165" s="11">
        <f t="shared" si="3"/>
        <v>1</v>
      </c>
      <c r="B165" s="12" t="str">
        <f t="array" aca="1" ref="B165" ca="1">OFFSET(C165,,MATCH(TRUE,C165:AJ165&lt;&gt;"",0)-1)</f>
        <v>Technical data</v>
      </c>
      <c r="C165" s="9" t="s">
        <v>103</v>
      </c>
      <c r="D165" s="5" t="s">
        <v>103</v>
      </c>
      <c r="E165" s="5" t="s">
        <v>103</v>
      </c>
      <c r="F165" s="5" t="s">
        <v>255</v>
      </c>
      <c r="G165" s="5" t="s">
        <v>375</v>
      </c>
      <c r="H165" s="5" t="s">
        <v>375</v>
      </c>
      <c r="I165" s="5" t="s">
        <v>255</v>
      </c>
      <c r="J165" s="5" t="s">
        <v>255</v>
      </c>
      <c r="K165" s="5" t="s">
        <v>255</v>
      </c>
      <c r="L165" s="5" t="s">
        <v>103</v>
      </c>
      <c r="M165" s="5" t="s">
        <v>103</v>
      </c>
      <c r="N165" s="5" t="s">
        <v>375</v>
      </c>
      <c r="O165" s="5" t="s">
        <v>103</v>
      </c>
      <c r="P165" s="5" t="s">
        <v>103</v>
      </c>
      <c r="Q165" s="5" t="s">
        <v>103</v>
      </c>
      <c r="R165" s="5" t="s">
        <v>103</v>
      </c>
      <c r="S165" s="5" t="s">
        <v>255</v>
      </c>
      <c r="T165" s="5" t="s">
        <v>103</v>
      </c>
      <c r="U165" s="5" t="s">
        <v>103</v>
      </c>
      <c r="V165" s="5" t="s">
        <v>103</v>
      </c>
      <c r="W165" s="5" t="s">
        <v>103</v>
      </c>
      <c r="X165" s="5" t="s">
        <v>103</v>
      </c>
      <c r="Y165" s="5" t="s">
        <v>103</v>
      </c>
      <c r="Z165" s="5" t="s">
        <v>103</v>
      </c>
      <c r="AA165" s="5" t="s">
        <v>103</v>
      </c>
      <c r="AB165" s="5" t="s">
        <v>103</v>
      </c>
      <c r="AC165" s="5" t="s">
        <v>103</v>
      </c>
      <c r="AD165" s="5" t="s">
        <v>103</v>
      </c>
      <c r="AE165" s="5" t="s">
        <v>103</v>
      </c>
      <c r="AF165" s="5" t="s">
        <v>103</v>
      </c>
      <c r="AG165" s="5" t="s">
        <v>103</v>
      </c>
      <c r="AH165" s="5" t="s">
        <v>103</v>
      </c>
      <c r="AI165" s="5" t="s">
        <v>103</v>
      </c>
      <c r="AJ165" s="5" t="s">
        <v>255</v>
      </c>
    </row>
    <row r="166" spans="1:36" ht="18.75" x14ac:dyDescent="0.25">
      <c r="A166" s="11">
        <f t="shared" si="3"/>
        <v>1</v>
      </c>
      <c r="B166" s="13" t="str">
        <f t="array" aca="1" ref="B166" ca="1">OFFSET(C166,,MATCH(TRUE,C166:AJ166&lt;&gt;"",0)-1)</f>
        <v>Environment requirements</v>
      </c>
      <c r="C166" s="8" t="s">
        <v>104</v>
      </c>
      <c r="D166" t="s">
        <v>104</v>
      </c>
      <c r="E166" t="s">
        <v>104</v>
      </c>
      <c r="F166" t="s">
        <v>256</v>
      </c>
      <c r="G166" t="s">
        <v>376</v>
      </c>
      <c r="H166" t="s">
        <v>465</v>
      </c>
      <c r="I166" t="s">
        <v>536</v>
      </c>
      <c r="J166" t="s">
        <v>256</v>
      </c>
      <c r="K166" t="s">
        <v>256</v>
      </c>
      <c r="L166" t="s">
        <v>104</v>
      </c>
      <c r="M166" t="s">
        <v>104</v>
      </c>
      <c r="N166" t="s">
        <v>465</v>
      </c>
      <c r="O166" t="s">
        <v>104</v>
      </c>
      <c r="P166" t="s">
        <v>104</v>
      </c>
      <c r="Q166" t="s">
        <v>104</v>
      </c>
      <c r="R166" t="s">
        <v>1412</v>
      </c>
      <c r="S166" t="s">
        <v>536</v>
      </c>
      <c r="T166" t="s">
        <v>104</v>
      </c>
      <c r="U166" t="s">
        <v>104</v>
      </c>
      <c r="V166" t="s">
        <v>104</v>
      </c>
      <c r="W166" t="s">
        <v>104</v>
      </c>
      <c r="X166" t="s">
        <v>104</v>
      </c>
      <c r="Y166" t="s">
        <v>104</v>
      </c>
      <c r="Z166" t="s">
        <v>104</v>
      </c>
      <c r="AA166" t="s">
        <v>104</v>
      </c>
      <c r="AB166" t="s">
        <v>104</v>
      </c>
      <c r="AC166" t="s">
        <v>104</v>
      </c>
      <c r="AD166" t="s">
        <v>104</v>
      </c>
      <c r="AE166" t="s">
        <v>104</v>
      </c>
      <c r="AF166" t="s">
        <v>104</v>
      </c>
      <c r="AG166" t="s">
        <v>104</v>
      </c>
      <c r="AH166" t="s">
        <v>104</v>
      </c>
      <c r="AI166" t="s">
        <v>104</v>
      </c>
      <c r="AJ166" t="s">
        <v>536</v>
      </c>
    </row>
    <row r="167" spans="1:36" ht="18.75" x14ac:dyDescent="0.25">
      <c r="A167" s="11">
        <f t="shared" si="3"/>
        <v>1</v>
      </c>
      <c r="B167" s="13" t="str">
        <f t="array" aca="1" ref="B167" ca="1">OFFSET(C167,,MATCH(TRUE,C167:AJ167&lt;&gt;"",0)-1)</f>
        <v>Media requirements</v>
      </c>
      <c r="C167" s="8" t="s">
        <v>105</v>
      </c>
      <c r="D167" t="s">
        <v>105</v>
      </c>
      <c r="E167" t="s">
        <v>105</v>
      </c>
      <c r="F167" t="s">
        <v>257</v>
      </c>
      <c r="G167" t="s">
        <v>377</v>
      </c>
      <c r="H167" t="s">
        <v>466</v>
      </c>
      <c r="I167" t="s">
        <v>257</v>
      </c>
      <c r="J167" t="s">
        <v>257</v>
      </c>
      <c r="K167" t="s">
        <v>257</v>
      </c>
      <c r="L167" t="s">
        <v>105</v>
      </c>
      <c r="M167" t="s">
        <v>105</v>
      </c>
      <c r="N167" t="s">
        <v>466</v>
      </c>
      <c r="O167" t="s">
        <v>105</v>
      </c>
      <c r="P167" t="s">
        <v>105</v>
      </c>
      <c r="Q167" t="s">
        <v>105</v>
      </c>
      <c r="R167" t="s">
        <v>105</v>
      </c>
      <c r="S167" t="s">
        <v>257</v>
      </c>
      <c r="T167" t="s">
        <v>105</v>
      </c>
      <c r="U167" t="s">
        <v>105</v>
      </c>
      <c r="V167" t="s">
        <v>105</v>
      </c>
      <c r="W167" t="s">
        <v>105</v>
      </c>
      <c r="X167" t="s">
        <v>105</v>
      </c>
      <c r="Y167" t="s">
        <v>105</v>
      </c>
      <c r="Z167" t="s">
        <v>105</v>
      </c>
      <c r="AA167" t="s">
        <v>105</v>
      </c>
      <c r="AB167" t="s">
        <v>105</v>
      </c>
      <c r="AC167" t="s">
        <v>105</v>
      </c>
      <c r="AD167" t="s">
        <v>105</v>
      </c>
      <c r="AE167" t="s">
        <v>105</v>
      </c>
      <c r="AF167" t="s">
        <v>105</v>
      </c>
      <c r="AG167" t="s">
        <v>105</v>
      </c>
      <c r="AH167" t="s">
        <v>105</v>
      </c>
      <c r="AI167" t="s">
        <v>105</v>
      </c>
      <c r="AJ167" t="s">
        <v>257</v>
      </c>
    </row>
    <row r="168" spans="1:36" ht="18.75" x14ac:dyDescent="0.25">
      <c r="A168" s="11">
        <f t="shared" si="3"/>
        <v>0.20588235294117652</v>
      </c>
      <c r="B168" s="13" t="str">
        <f t="array" aca="1" ref="B168" ca="1">OFFSET(C168,,MATCH(TRUE,C168:AJ168&lt;&gt;"",0)-1)</f>
        <v>Electrical energy</v>
      </c>
      <c r="C168" s="8"/>
      <c r="E168" t="s">
        <v>149</v>
      </c>
      <c r="H168" t="s">
        <v>467</v>
      </c>
      <c r="L168" t="s">
        <v>149</v>
      </c>
      <c r="M168" t="s">
        <v>149</v>
      </c>
      <c r="N168" t="s">
        <v>467</v>
      </c>
      <c r="P168" t="s">
        <v>149</v>
      </c>
      <c r="Q168" t="s">
        <v>149</v>
      </c>
    </row>
    <row r="169" spans="1:36" ht="18.75" x14ac:dyDescent="0.25">
      <c r="A169" s="11">
        <f t="shared" si="3"/>
        <v>0.20588235294117652</v>
      </c>
      <c r="B169" s="13" t="str">
        <f t="array" aca="1" ref="B169" ca="1">OFFSET(C169,,MATCH(TRUE,C169:AJ169&lt;&gt;"",0)-1)</f>
        <v>Operation</v>
      </c>
      <c r="C169" s="8"/>
      <c r="E169" t="s">
        <v>57</v>
      </c>
      <c r="H169" t="s">
        <v>431</v>
      </c>
      <c r="L169" t="s">
        <v>57</v>
      </c>
      <c r="M169" t="s">
        <v>57</v>
      </c>
      <c r="N169" t="s">
        <v>431</v>
      </c>
      <c r="P169" t="s">
        <v>57</v>
      </c>
      <c r="Q169" t="s">
        <v>57</v>
      </c>
    </row>
    <row r="170" spans="1:36" ht="18.75" x14ac:dyDescent="0.25">
      <c r="A170" s="11">
        <f t="shared" si="3"/>
        <v>0.1470588235294118</v>
      </c>
      <c r="B170" s="13" t="str">
        <f t="array" aca="1" ref="B170" ca="1">OFFSET(C170,,MATCH(TRUE,C170:AJ170&lt;&gt;"",0)-1)</f>
        <v>Machine specifications</v>
      </c>
      <c r="C170" s="8"/>
      <c r="E170" t="s">
        <v>114</v>
      </c>
      <c r="H170" t="s">
        <v>385</v>
      </c>
      <c r="L170" t="s">
        <v>114</v>
      </c>
      <c r="M170" t="s">
        <v>114</v>
      </c>
      <c r="N170" t="s">
        <v>385</v>
      </c>
    </row>
    <row r="171" spans="1:36" ht="18.75" x14ac:dyDescent="0.25">
      <c r="A171" s="11">
        <f t="shared" si="3"/>
        <v>0.1470588235294118</v>
      </c>
      <c r="B171" s="13" t="str">
        <f t="array" aca="1" ref="B171" ca="1">OFFSET(C171,,MATCH(TRUE,C171:AJ171&lt;&gt;"",0)-1)</f>
        <v>Supply data</v>
      </c>
      <c r="C171" s="8"/>
      <c r="E171" t="s">
        <v>115</v>
      </c>
      <c r="H171" t="s">
        <v>468</v>
      </c>
      <c r="L171" t="s">
        <v>115</v>
      </c>
      <c r="M171" t="s">
        <v>115</v>
      </c>
      <c r="N171" t="s">
        <v>468</v>
      </c>
      <c r="P171" s="4"/>
    </row>
    <row r="172" spans="1:36" ht="18.75" x14ac:dyDescent="0.25">
      <c r="A172" s="11">
        <f t="shared" si="3"/>
        <v>0.79411764705882359</v>
      </c>
      <c r="B172" s="13" t="str">
        <f t="array" aca="1" ref="B172" ca="1">OFFSET(C172,,MATCH(TRUE,C172:AJ172&lt;&gt;"",0)-1)</f>
        <v>Explanation of terms</v>
      </c>
      <c r="C172" s="8" t="s">
        <v>106</v>
      </c>
      <c r="D172" t="s">
        <v>106</v>
      </c>
      <c r="F172" t="s">
        <v>258</v>
      </c>
      <c r="G172" t="s">
        <v>378</v>
      </c>
      <c r="I172" t="s">
        <v>258</v>
      </c>
      <c r="J172" t="s">
        <v>258</v>
      </c>
      <c r="K172" t="s">
        <v>258</v>
      </c>
      <c r="O172" t="s">
        <v>106</v>
      </c>
      <c r="R172" t="s">
        <v>106</v>
      </c>
      <c r="S172" t="s">
        <v>258</v>
      </c>
      <c r="T172" t="s">
        <v>106</v>
      </c>
      <c r="U172" t="s">
        <v>106</v>
      </c>
      <c r="V172" t="s">
        <v>106</v>
      </c>
      <c r="W172" t="s">
        <v>106</v>
      </c>
      <c r="X172" t="s">
        <v>106</v>
      </c>
      <c r="Y172" t="s">
        <v>106</v>
      </c>
      <c r="Z172" t="s">
        <v>106</v>
      </c>
      <c r="AA172" t="s">
        <v>106</v>
      </c>
      <c r="AB172" t="s">
        <v>106</v>
      </c>
      <c r="AC172" t="s">
        <v>106</v>
      </c>
      <c r="AD172" t="s">
        <v>106</v>
      </c>
      <c r="AE172" t="s">
        <v>106</v>
      </c>
      <c r="AF172" t="s">
        <v>106</v>
      </c>
      <c r="AG172" t="s">
        <v>106</v>
      </c>
      <c r="AH172" t="s">
        <v>106</v>
      </c>
      <c r="AI172" t="s">
        <v>106</v>
      </c>
      <c r="AJ172" t="s">
        <v>258</v>
      </c>
    </row>
    <row r="173" spans="1:36" ht="18.75" x14ac:dyDescent="0.25">
      <c r="A173" s="11">
        <f t="shared" si="3"/>
        <v>0.79411764705882359</v>
      </c>
      <c r="B173" s="13" t="str">
        <f t="array" aca="1" ref="B173" ca="1">OFFSET(C173,,MATCH(TRUE,C173:AJ173&lt;&gt;"",0)-1)</f>
        <v>Water</v>
      </c>
      <c r="C173" s="8" t="s">
        <v>107</v>
      </c>
      <c r="D173" t="s">
        <v>107</v>
      </c>
      <c r="F173" t="s">
        <v>259</v>
      </c>
      <c r="G173" t="s">
        <v>379</v>
      </c>
      <c r="I173" t="s">
        <v>259</v>
      </c>
      <c r="J173" t="s">
        <v>259</v>
      </c>
      <c r="K173" t="s">
        <v>259</v>
      </c>
      <c r="O173" t="s">
        <v>107</v>
      </c>
      <c r="R173" t="s">
        <v>107</v>
      </c>
      <c r="S173" t="s">
        <v>259</v>
      </c>
      <c r="T173" t="s">
        <v>107</v>
      </c>
      <c r="U173" t="s">
        <v>107</v>
      </c>
      <c r="V173" t="s">
        <v>107</v>
      </c>
      <c r="W173" t="s">
        <v>107</v>
      </c>
      <c r="X173" t="s">
        <v>107</v>
      </c>
      <c r="Y173" t="s">
        <v>107</v>
      </c>
      <c r="Z173" t="s">
        <v>107</v>
      </c>
      <c r="AA173" t="s">
        <v>107</v>
      </c>
      <c r="AB173" t="s">
        <v>107</v>
      </c>
      <c r="AC173" t="s">
        <v>107</v>
      </c>
      <c r="AD173" t="s">
        <v>107</v>
      </c>
      <c r="AE173" t="s">
        <v>107</v>
      </c>
      <c r="AF173" t="s">
        <v>107</v>
      </c>
      <c r="AG173" t="s">
        <v>107</v>
      </c>
      <c r="AH173" t="s">
        <v>107</v>
      </c>
      <c r="AI173" t="s">
        <v>107</v>
      </c>
      <c r="AJ173" t="s">
        <v>259</v>
      </c>
    </row>
    <row r="174" spans="1:36" ht="18.75" x14ac:dyDescent="0.25">
      <c r="A174" s="11">
        <f t="shared" si="3"/>
        <v>0.79411764705882359</v>
      </c>
      <c r="B174" s="13" t="str">
        <f t="array" aca="1" ref="B174" ca="1">OFFSET(C174,,MATCH(TRUE,C174:AJ174&lt;&gt;"",0)-1)</f>
        <v>Air</v>
      </c>
      <c r="C174" s="8" t="s">
        <v>108</v>
      </c>
      <c r="D174" t="s">
        <v>108</v>
      </c>
      <c r="F174" t="s">
        <v>260</v>
      </c>
      <c r="G174" t="s">
        <v>380</v>
      </c>
      <c r="I174" t="s">
        <v>260</v>
      </c>
      <c r="J174" t="s">
        <v>260</v>
      </c>
      <c r="K174" t="s">
        <v>260</v>
      </c>
      <c r="O174" t="s">
        <v>108</v>
      </c>
      <c r="R174" t="s">
        <v>108</v>
      </c>
      <c r="S174" t="s">
        <v>260</v>
      </c>
      <c r="T174" t="s">
        <v>108</v>
      </c>
      <c r="U174" t="s">
        <v>108</v>
      </c>
      <c r="V174" t="s">
        <v>108</v>
      </c>
      <c r="W174" t="s">
        <v>108</v>
      </c>
      <c r="X174" t="s">
        <v>108</v>
      </c>
      <c r="Y174" t="s">
        <v>108</v>
      </c>
      <c r="Z174" t="s">
        <v>108</v>
      </c>
      <c r="AA174" t="s">
        <v>108</v>
      </c>
      <c r="AB174" t="s">
        <v>108</v>
      </c>
      <c r="AC174" t="s">
        <v>108</v>
      </c>
      <c r="AD174" t="s">
        <v>108</v>
      </c>
      <c r="AE174" t="s">
        <v>108</v>
      </c>
      <c r="AF174" t="s">
        <v>108</v>
      </c>
      <c r="AG174" t="s">
        <v>108</v>
      </c>
      <c r="AH174" t="s">
        <v>108</v>
      </c>
      <c r="AI174" t="s">
        <v>108</v>
      </c>
      <c r="AJ174" t="s">
        <v>260</v>
      </c>
    </row>
    <row r="175" spans="1:36" ht="18.75" x14ac:dyDescent="0.25">
      <c r="A175" s="11">
        <f t="shared" si="3"/>
        <v>0.67647058823529416</v>
      </c>
      <c r="B175" s="13" t="str">
        <f t="array" aca="1" ref="B175" ca="1">OFFSET(C175,,MATCH(TRUE,C175:AJ175&lt;&gt;"",0)-1)</f>
        <v>Steam</v>
      </c>
      <c r="C175" s="8" t="s">
        <v>109</v>
      </c>
      <c r="D175" t="s">
        <v>109</v>
      </c>
      <c r="F175" t="s">
        <v>261</v>
      </c>
      <c r="G175" t="s">
        <v>261</v>
      </c>
      <c r="I175" t="s">
        <v>261</v>
      </c>
      <c r="J175" t="s">
        <v>261</v>
      </c>
      <c r="K175" t="s">
        <v>261</v>
      </c>
      <c r="O175" t="s">
        <v>109</v>
      </c>
      <c r="R175" t="s">
        <v>109</v>
      </c>
      <c r="S175" t="s">
        <v>261</v>
      </c>
      <c r="V175" t="s">
        <v>109</v>
      </c>
      <c r="W175" t="s">
        <v>109</v>
      </c>
      <c r="X175" t="s">
        <v>109</v>
      </c>
      <c r="Y175" t="s">
        <v>109</v>
      </c>
      <c r="Z175" t="s">
        <v>109</v>
      </c>
      <c r="AA175" t="s">
        <v>109</v>
      </c>
      <c r="AB175" t="s">
        <v>109</v>
      </c>
      <c r="AC175" t="s">
        <v>109</v>
      </c>
      <c r="AE175" t="s">
        <v>109</v>
      </c>
      <c r="AF175" t="s">
        <v>109</v>
      </c>
      <c r="AG175" t="s">
        <v>109</v>
      </c>
      <c r="AI175" t="s">
        <v>109</v>
      </c>
      <c r="AJ175" t="s">
        <v>261</v>
      </c>
    </row>
    <row r="176" spans="1:36" ht="18.75" x14ac:dyDescent="0.25">
      <c r="A176" s="11">
        <f t="shared" si="3"/>
        <v>0.79411764705882359</v>
      </c>
      <c r="B176" s="13" t="str">
        <f t="array" aca="1" ref="B176" ca="1">OFFSET(C176,,MATCH(TRUE,C176:AJ176&lt;&gt;"",0)-1)</f>
        <v>Cleaning recommendations</v>
      </c>
      <c r="C176" s="8" t="s">
        <v>110</v>
      </c>
      <c r="D176" t="s">
        <v>110</v>
      </c>
      <c r="F176" t="s">
        <v>262</v>
      </c>
      <c r="G176" t="s">
        <v>381</v>
      </c>
      <c r="I176" t="s">
        <v>262</v>
      </c>
      <c r="J176" t="s">
        <v>262</v>
      </c>
      <c r="K176" t="s">
        <v>262</v>
      </c>
      <c r="O176" t="s">
        <v>110</v>
      </c>
      <c r="R176" t="s">
        <v>110</v>
      </c>
      <c r="S176" t="s">
        <v>262</v>
      </c>
      <c r="T176" t="s">
        <v>110</v>
      </c>
      <c r="U176" t="s">
        <v>110</v>
      </c>
      <c r="V176" t="s">
        <v>110</v>
      </c>
      <c r="W176" t="s">
        <v>110</v>
      </c>
      <c r="X176" t="s">
        <v>110</v>
      </c>
      <c r="Y176" t="s">
        <v>110</v>
      </c>
      <c r="Z176" t="s">
        <v>110</v>
      </c>
      <c r="AA176" t="s">
        <v>110</v>
      </c>
      <c r="AB176" t="s">
        <v>110</v>
      </c>
      <c r="AC176" t="s">
        <v>110</v>
      </c>
      <c r="AD176" t="s">
        <v>110</v>
      </c>
      <c r="AE176" t="s">
        <v>110</v>
      </c>
      <c r="AF176" t="s">
        <v>110</v>
      </c>
      <c r="AG176" t="s">
        <v>110</v>
      </c>
      <c r="AH176" t="s">
        <v>110</v>
      </c>
      <c r="AI176" t="s">
        <v>110</v>
      </c>
      <c r="AJ176" t="s">
        <v>262</v>
      </c>
    </row>
    <row r="177" spans="1:36" ht="18.75" x14ac:dyDescent="0.25">
      <c r="A177" s="11">
        <f t="shared" si="3"/>
        <v>0.79411764705882359</v>
      </c>
      <c r="B177" s="13" t="str">
        <f t="array" aca="1" ref="B177" ca="1">OFFSET(C177,,MATCH(TRUE,C177:AJ177&lt;&gt;"",0)-1)</f>
        <v>Hygiene of surrounding area (floor, walls, gullies, belts)</v>
      </c>
      <c r="C177" s="8" t="s">
        <v>111</v>
      </c>
      <c r="D177" t="s">
        <v>111</v>
      </c>
      <c r="F177" t="s">
        <v>263</v>
      </c>
      <c r="G177" t="s">
        <v>382</v>
      </c>
      <c r="I177" t="s">
        <v>537</v>
      </c>
      <c r="J177" t="s">
        <v>263</v>
      </c>
      <c r="K177" t="s">
        <v>263</v>
      </c>
      <c r="O177" t="s">
        <v>111</v>
      </c>
      <c r="R177" t="s">
        <v>1413</v>
      </c>
      <c r="S177" t="s">
        <v>537</v>
      </c>
      <c r="T177" t="s">
        <v>111</v>
      </c>
      <c r="U177" t="s">
        <v>111</v>
      </c>
      <c r="V177" t="s">
        <v>111</v>
      </c>
      <c r="W177" t="s">
        <v>111</v>
      </c>
      <c r="X177" t="s">
        <v>111</v>
      </c>
      <c r="Y177" t="s">
        <v>111</v>
      </c>
      <c r="Z177" t="s">
        <v>111</v>
      </c>
      <c r="AA177" t="s">
        <v>111</v>
      </c>
      <c r="AB177" t="s">
        <v>111</v>
      </c>
      <c r="AC177" t="s">
        <v>111</v>
      </c>
      <c r="AD177" t="s">
        <v>111</v>
      </c>
      <c r="AE177" t="s">
        <v>111</v>
      </c>
      <c r="AF177" t="s">
        <v>111</v>
      </c>
      <c r="AG177" t="s">
        <v>111</v>
      </c>
      <c r="AH177" t="s">
        <v>111</v>
      </c>
      <c r="AI177" t="s">
        <v>111</v>
      </c>
      <c r="AJ177" t="s">
        <v>537</v>
      </c>
    </row>
    <row r="178" spans="1:36" ht="18.75" x14ac:dyDescent="0.25">
      <c r="A178" s="11">
        <f t="shared" si="3"/>
        <v>0.79411764705882359</v>
      </c>
      <c r="B178" s="13" t="str">
        <f t="array" aca="1" ref="B178" ca="1">OFFSET(C178,,MATCH(TRUE,C178:AJ178&lt;&gt;"",0)-1)</f>
        <v>External cleaning: Selected machines</v>
      </c>
      <c r="C178" s="8" t="s">
        <v>112</v>
      </c>
      <c r="D178" t="s">
        <v>112</v>
      </c>
      <c r="F178" t="s">
        <v>264</v>
      </c>
      <c r="G178" t="s">
        <v>383</v>
      </c>
      <c r="I178" t="s">
        <v>538</v>
      </c>
      <c r="J178" t="s">
        <v>264</v>
      </c>
      <c r="K178" t="s">
        <v>264</v>
      </c>
      <c r="O178" t="s">
        <v>112</v>
      </c>
      <c r="R178" t="s">
        <v>112</v>
      </c>
      <c r="S178" t="s">
        <v>538</v>
      </c>
      <c r="T178" t="s">
        <v>112</v>
      </c>
      <c r="U178" t="s">
        <v>112</v>
      </c>
      <c r="V178" t="s">
        <v>112</v>
      </c>
      <c r="W178" t="s">
        <v>112</v>
      </c>
      <c r="X178" t="s">
        <v>112</v>
      </c>
      <c r="Y178" t="s">
        <v>112</v>
      </c>
      <c r="Z178" t="s">
        <v>112</v>
      </c>
      <c r="AA178" t="s">
        <v>112</v>
      </c>
      <c r="AB178" t="s">
        <v>112</v>
      </c>
      <c r="AC178" t="s">
        <v>112</v>
      </c>
      <c r="AD178" t="s">
        <v>112</v>
      </c>
      <c r="AE178" t="s">
        <v>112</v>
      </c>
      <c r="AF178" t="s">
        <v>112</v>
      </c>
      <c r="AG178" t="s">
        <v>112</v>
      </c>
      <c r="AH178" t="s">
        <v>112</v>
      </c>
      <c r="AI178" t="s">
        <v>112</v>
      </c>
      <c r="AJ178" t="s">
        <v>538</v>
      </c>
    </row>
    <row r="179" spans="1:36" ht="18.75" x14ac:dyDescent="0.25">
      <c r="A179" s="11">
        <f t="shared" si="3"/>
        <v>0.79411764705882359</v>
      </c>
      <c r="B179" s="13" t="str">
        <f t="array" aca="1" ref="B179" ca="1">OFFSET(C179,,MATCH(TRUE,C179:AJ179&lt;&gt;"",0)-1)</f>
        <v>Passivation</v>
      </c>
      <c r="C179" s="8" t="s">
        <v>113</v>
      </c>
      <c r="D179" t="s">
        <v>113</v>
      </c>
      <c r="F179" t="s">
        <v>265</v>
      </c>
      <c r="G179" t="s">
        <v>384</v>
      </c>
      <c r="I179" t="s">
        <v>265</v>
      </c>
      <c r="J179" t="s">
        <v>265</v>
      </c>
      <c r="K179" t="s">
        <v>265</v>
      </c>
      <c r="O179" t="s">
        <v>113</v>
      </c>
      <c r="R179" t="s">
        <v>113</v>
      </c>
      <c r="S179" t="s">
        <v>265</v>
      </c>
      <c r="T179" t="s">
        <v>113</v>
      </c>
      <c r="U179" t="s">
        <v>113</v>
      </c>
      <c r="V179" t="s">
        <v>113</v>
      </c>
      <c r="W179" t="s">
        <v>113</v>
      </c>
      <c r="X179" t="s">
        <v>113</v>
      </c>
      <c r="Y179" t="s">
        <v>113</v>
      </c>
      <c r="Z179" t="s">
        <v>113</v>
      </c>
      <c r="AA179" t="s">
        <v>113</v>
      </c>
      <c r="AB179" t="s">
        <v>113</v>
      </c>
      <c r="AC179" t="s">
        <v>113</v>
      </c>
      <c r="AD179" t="s">
        <v>113</v>
      </c>
      <c r="AE179" t="s">
        <v>113</v>
      </c>
      <c r="AF179" t="s">
        <v>113</v>
      </c>
      <c r="AG179" t="s">
        <v>113</v>
      </c>
      <c r="AH179" t="s">
        <v>113</v>
      </c>
      <c r="AI179" t="s">
        <v>113</v>
      </c>
      <c r="AJ179" t="s">
        <v>265</v>
      </c>
    </row>
    <row r="180" spans="1:36" ht="18.75" x14ac:dyDescent="0.25">
      <c r="A180" s="11">
        <f t="shared" si="3"/>
        <v>0.79411764705882359</v>
      </c>
      <c r="B180" s="13" t="str">
        <f t="array" aca="1" ref="B180" ca="1">OFFSET(C180,,MATCH(TRUE,C180:AJ180&lt;&gt;"",0)-1)</f>
        <v>Operation</v>
      </c>
      <c r="C180" s="8" t="s">
        <v>57</v>
      </c>
      <c r="D180" t="s">
        <v>57</v>
      </c>
      <c r="F180" t="s">
        <v>214</v>
      </c>
      <c r="G180" t="s">
        <v>335</v>
      </c>
      <c r="I180" t="s">
        <v>214</v>
      </c>
      <c r="J180" t="s">
        <v>214</v>
      </c>
      <c r="K180" t="s">
        <v>214</v>
      </c>
      <c r="O180" t="s">
        <v>57</v>
      </c>
      <c r="R180" t="s">
        <v>57</v>
      </c>
      <c r="S180" t="s">
        <v>214</v>
      </c>
      <c r="T180" t="s">
        <v>57</v>
      </c>
      <c r="U180" t="s">
        <v>57</v>
      </c>
      <c r="V180" t="s">
        <v>57</v>
      </c>
      <c r="W180" t="s">
        <v>57</v>
      </c>
      <c r="X180" t="s">
        <v>57</v>
      </c>
      <c r="Y180" t="s">
        <v>57</v>
      </c>
      <c r="Z180" t="s">
        <v>57</v>
      </c>
      <c r="AA180" t="s">
        <v>57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214</v>
      </c>
    </row>
    <row r="181" spans="1:36" ht="18.75" x14ac:dyDescent="0.25">
      <c r="A181" s="11">
        <f t="shared" si="3"/>
        <v>0.8529411764705882</v>
      </c>
      <c r="B181" s="13" t="str">
        <f t="array" aca="1" ref="B181" ca="1">OFFSET(C181,,MATCH(TRUE,C181:AJ181&lt;&gt;"",0)-1)</f>
        <v>Machine specifications</v>
      </c>
      <c r="C181" s="8" t="s">
        <v>114</v>
      </c>
      <c r="D181" t="s">
        <v>114</v>
      </c>
      <c r="F181" t="s">
        <v>266</v>
      </c>
      <c r="G181" t="s">
        <v>385</v>
      </c>
      <c r="I181" t="s">
        <v>266</v>
      </c>
      <c r="J181" t="s">
        <v>266</v>
      </c>
      <c r="K181" t="s">
        <v>266</v>
      </c>
      <c r="O181" t="s">
        <v>114</v>
      </c>
      <c r="P181" s="4" t="s">
        <v>114</v>
      </c>
      <c r="Q181" t="s">
        <v>114</v>
      </c>
      <c r="R181" t="s">
        <v>1414</v>
      </c>
      <c r="S181" t="s">
        <v>266</v>
      </c>
      <c r="T181" t="s">
        <v>114</v>
      </c>
      <c r="U181" t="s">
        <v>114</v>
      </c>
      <c r="V181" t="s">
        <v>114</v>
      </c>
      <c r="W181" t="s">
        <v>114</v>
      </c>
      <c r="X181" t="s">
        <v>114</v>
      </c>
      <c r="Y181" t="s">
        <v>114</v>
      </c>
      <c r="Z181" t="s">
        <v>114</v>
      </c>
      <c r="AA181" t="s">
        <v>114</v>
      </c>
      <c r="AB181" t="s">
        <v>114</v>
      </c>
      <c r="AC181" t="s">
        <v>114</v>
      </c>
      <c r="AD181" t="s">
        <v>114</v>
      </c>
      <c r="AE181" t="s">
        <v>114</v>
      </c>
      <c r="AF181" t="s">
        <v>114</v>
      </c>
      <c r="AG181" t="s">
        <v>114</v>
      </c>
      <c r="AH181" t="s">
        <v>114</v>
      </c>
      <c r="AI181" t="s">
        <v>114</v>
      </c>
      <c r="AJ181" t="s">
        <v>266</v>
      </c>
    </row>
    <row r="182" spans="1:36" ht="18.75" x14ac:dyDescent="0.25">
      <c r="A182" s="11">
        <f t="shared" si="3"/>
        <v>0.79411764705882359</v>
      </c>
      <c r="B182" s="13" t="str">
        <f t="array" aca="1" ref="B182" ca="1">OFFSET(C182,,MATCH(TRUE,C182:AJ182&lt;&gt;"",0)-1)</f>
        <v>Supply data</v>
      </c>
      <c r="C182" s="8" t="s">
        <v>115</v>
      </c>
      <c r="D182" t="s">
        <v>115</v>
      </c>
      <c r="G182" t="s">
        <v>386</v>
      </c>
      <c r="J182" t="s">
        <v>550</v>
      </c>
      <c r="K182" t="s">
        <v>550</v>
      </c>
      <c r="O182" t="s">
        <v>115</v>
      </c>
      <c r="P182" t="s">
        <v>115</v>
      </c>
      <c r="Q182" t="s">
        <v>115</v>
      </c>
      <c r="R182" t="s">
        <v>115</v>
      </c>
      <c r="S182" t="s">
        <v>550</v>
      </c>
      <c r="T182" t="s">
        <v>115</v>
      </c>
      <c r="U182" t="s">
        <v>115</v>
      </c>
      <c r="V182" t="s">
        <v>115</v>
      </c>
      <c r="W182" t="s">
        <v>115</v>
      </c>
      <c r="X182" t="s">
        <v>115</v>
      </c>
      <c r="Y182" t="s">
        <v>115</v>
      </c>
      <c r="Z182" t="s">
        <v>115</v>
      </c>
      <c r="AA182" t="s">
        <v>115</v>
      </c>
      <c r="AB182" t="s">
        <v>115</v>
      </c>
      <c r="AC182" t="s">
        <v>115</v>
      </c>
      <c r="AD182" t="s">
        <v>115</v>
      </c>
      <c r="AE182" t="s">
        <v>115</v>
      </c>
      <c r="AF182" t="s">
        <v>115</v>
      </c>
      <c r="AG182" t="s">
        <v>115</v>
      </c>
      <c r="AH182" t="s">
        <v>115</v>
      </c>
      <c r="AI182" t="s">
        <v>115</v>
      </c>
      <c r="AJ182" t="s">
        <v>550</v>
      </c>
    </row>
    <row r="183" spans="1:36" ht="18.75" x14ac:dyDescent="0.25">
      <c r="A183" s="11">
        <f t="shared" si="3"/>
        <v>0.8529411764705882</v>
      </c>
      <c r="B183" s="13" t="str">
        <f t="array" aca="1" ref="B183" ca="1">OFFSET(C183,,MATCH(TRUE,C183:AJ183&lt;&gt;"",0)-1)</f>
        <v>Flow rates for the machines</v>
      </c>
      <c r="C183" s="8" t="s">
        <v>116</v>
      </c>
      <c r="D183" t="s">
        <v>116</v>
      </c>
      <c r="E183" t="s">
        <v>116</v>
      </c>
      <c r="H183" t="s">
        <v>469</v>
      </c>
      <c r="K183" t="s">
        <v>573</v>
      </c>
      <c r="L183" t="s">
        <v>116</v>
      </c>
      <c r="M183" t="s">
        <v>116</v>
      </c>
      <c r="N183" t="s">
        <v>469</v>
      </c>
      <c r="O183" t="s">
        <v>116</v>
      </c>
      <c r="P183" t="s">
        <v>116</v>
      </c>
      <c r="Q183" t="s">
        <v>116</v>
      </c>
      <c r="R183" t="s">
        <v>1415</v>
      </c>
      <c r="S183" t="s">
        <v>1429</v>
      </c>
      <c r="T183" t="s">
        <v>116</v>
      </c>
      <c r="U183" t="s">
        <v>116</v>
      </c>
      <c r="V183" t="s">
        <v>116</v>
      </c>
      <c r="W183" t="s">
        <v>116</v>
      </c>
      <c r="X183" t="s">
        <v>116</v>
      </c>
      <c r="Y183" t="s">
        <v>116</v>
      </c>
      <c r="Z183" t="s">
        <v>116</v>
      </c>
      <c r="AA183" t="s">
        <v>116</v>
      </c>
      <c r="AB183" t="s">
        <v>116</v>
      </c>
      <c r="AC183" t="s">
        <v>116</v>
      </c>
      <c r="AD183" t="s">
        <v>116</v>
      </c>
      <c r="AE183" t="s">
        <v>116</v>
      </c>
      <c r="AF183" t="s">
        <v>116</v>
      </c>
      <c r="AG183" t="s">
        <v>116</v>
      </c>
      <c r="AH183" t="s">
        <v>116</v>
      </c>
      <c r="AJ183" t="s">
        <v>1429</v>
      </c>
    </row>
    <row r="184" spans="1:36" ht="18.75" x14ac:dyDescent="0.25">
      <c r="A184" s="11">
        <f t="shared" si="3"/>
        <v>1</v>
      </c>
      <c r="B184" s="13" t="str">
        <f t="array" aca="1" ref="B184" ca="1">OFFSET(C184,,MATCH(TRUE,C184:AJ184&lt;&gt;"",0)-1)</f>
        <v>Settings</v>
      </c>
      <c r="C184" s="8" t="s">
        <v>117</v>
      </c>
      <c r="D184" t="s">
        <v>117</v>
      </c>
      <c r="E184" t="s">
        <v>117</v>
      </c>
      <c r="F184" t="s">
        <v>267</v>
      </c>
      <c r="G184" t="s">
        <v>267</v>
      </c>
      <c r="H184" t="s">
        <v>267</v>
      </c>
      <c r="I184" t="s">
        <v>267</v>
      </c>
      <c r="J184" t="s">
        <v>267</v>
      </c>
      <c r="K184" t="s">
        <v>267</v>
      </c>
      <c r="L184" t="s">
        <v>117</v>
      </c>
      <c r="M184" t="s">
        <v>117</v>
      </c>
      <c r="N184" t="s">
        <v>267</v>
      </c>
      <c r="O184" t="s">
        <v>117</v>
      </c>
      <c r="P184" t="s">
        <v>117</v>
      </c>
      <c r="Q184" t="s">
        <v>117</v>
      </c>
      <c r="R184" t="s">
        <v>117</v>
      </c>
      <c r="S184" t="s">
        <v>267</v>
      </c>
      <c r="T184" t="s">
        <v>117</v>
      </c>
      <c r="U184" t="s">
        <v>117</v>
      </c>
      <c r="V184" t="s">
        <v>117</v>
      </c>
      <c r="W184" t="s">
        <v>117</v>
      </c>
      <c r="X184" t="s">
        <v>117</v>
      </c>
      <c r="Y184" t="s">
        <v>117</v>
      </c>
      <c r="Z184" t="s">
        <v>117</v>
      </c>
      <c r="AA184" t="s">
        <v>117</v>
      </c>
      <c r="AB184" t="s">
        <v>117</v>
      </c>
      <c r="AC184" t="s">
        <v>117</v>
      </c>
      <c r="AD184" t="s">
        <v>117</v>
      </c>
      <c r="AE184" t="s">
        <v>117</v>
      </c>
      <c r="AF184" t="s">
        <v>117</v>
      </c>
      <c r="AG184" t="s">
        <v>117</v>
      </c>
      <c r="AH184" t="s">
        <v>117</v>
      </c>
      <c r="AI184" t="s">
        <v>117</v>
      </c>
      <c r="AJ184" t="s">
        <v>267</v>
      </c>
    </row>
    <row r="185" spans="1:36" ht="18.75" x14ac:dyDescent="0.25">
      <c r="A185" s="11">
        <f t="shared" si="3"/>
        <v>1</v>
      </c>
      <c r="B185" s="13" t="str">
        <f t="array" aca="1" ref="B185" ca="1">OFFSET(C185,,MATCH(TRUE,C185:AJ185&lt;&gt;"",0)-1)</f>
        <v>Noise emissions</v>
      </c>
      <c r="C185" s="8" t="s">
        <v>118</v>
      </c>
      <c r="D185" t="s">
        <v>118</v>
      </c>
      <c r="E185" t="s">
        <v>118</v>
      </c>
      <c r="F185" t="s">
        <v>268</v>
      </c>
      <c r="G185" t="s">
        <v>387</v>
      </c>
      <c r="H185" t="s">
        <v>470</v>
      </c>
      <c r="I185" t="s">
        <v>268</v>
      </c>
      <c r="J185" t="s">
        <v>268</v>
      </c>
      <c r="K185" t="s">
        <v>268</v>
      </c>
      <c r="L185" t="s">
        <v>118</v>
      </c>
      <c r="M185" t="s">
        <v>118</v>
      </c>
      <c r="N185" t="s">
        <v>470</v>
      </c>
      <c r="O185" t="s">
        <v>118</v>
      </c>
      <c r="P185" t="s">
        <v>118</v>
      </c>
      <c r="Q185" t="s">
        <v>118</v>
      </c>
      <c r="R185" t="s">
        <v>118</v>
      </c>
      <c r="S185" t="s">
        <v>268</v>
      </c>
      <c r="T185" t="s">
        <v>118</v>
      </c>
      <c r="U185" t="s">
        <v>118</v>
      </c>
      <c r="V185" t="s">
        <v>118</v>
      </c>
      <c r="W185" t="s">
        <v>118</v>
      </c>
      <c r="X185" t="s">
        <v>118</v>
      </c>
      <c r="Y185" t="s">
        <v>118</v>
      </c>
      <c r="Z185" t="s">
        <v>118</v>
      </c>
      <c r="AA185" t="s">
        <v>118</v>
      </c>
      <c r="AB185" t="s">
        <v>118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268</v>
      </c>
    </row>
    <row r="186" spans="1:36" ht="18.75" x14ac:dyDescent="0.25">
      <c r="A186" s="11">
        <f t="shared" si="3"/>
        <v>1</v>
      </c>
      <c r="B186" s="13" t="str">
        <f t="array" aca="1" ref="B186" ca="1">OFFSET(C186,,MATCH(TRUE,C186:AJ186&lt;&gt;"",0)-1)</f>
        <v>Servicing</v>
      </c>
      <c r="C186" s="8" t="s">
        <v>83</v>
      </c>
      <c r="D186" t="s">
        <v>83</v>
      </c>
      <c r="E186" t="s">
        <v>83</v>
      </c>
      <c r="F186" t="s">
        <v>236</v>
      </c>
      <c r="G186" t="s">
        <v>357</v>
      </c>
      <c r="H186" t="s">
        <v>452</v>
      </c>
      <c r="I186" t="s">
        <v>521</v>
      </c>
      <c r="J186" t="s">
        <v>236</v>
      </c>
      <c r="K186" t="s">
        <v>236</v>
      </c>
      <c r="L186" t="s">
        <v>83</v>
      </c>
      <c r="M186" t="s">
        <v>83</v>
      </c>
      <c r="N186" t="s">
        <v>452</v>
      </c>
      <c r="O186" t="s">
        <v>83</v>
      </c>
      <c r="P186" t="s">
        <v>83</v>
      </c>
      <c r="Q186" t="s">
        <v>83</v>
      </c>
      <c r="R186" t="s">
        <v>83</v>
      </c>
      <c r="S186" t="s">
        <v>521</v>
      </c>
      <c r="T186" t="s">
        <v>83</v>
      </c>
      <c r="U186" t="s">
        <v>83</v>
      </c>
      <c r="V186" t="s">
        <v>83</v>
      </c>
      <c r="W186" t="s">
        <v>83</v>
      </c>
      <c r="X186" t="s">
        <v>83</v>
      </c>
      <c r="Y186" t="s">
        <v>83</v>
      </c>
      <c r="Z186" t="s">
        <v>83</v>
      </c>
      <c r="AA186" t="s">
        <v>83</v>
      </c>
      <c r="AB186" t="s">
        <v>83</v>
      </c>
      <c r="AC186" t="s">
        <v>83</v>
      </c>
      <c r="AD186" t="s">
        <v>83</v>
      </c>
      <c r="AE186" t="s">
        <v>83</v>
      </c>
      <c r="AF186" t="s">
        <v>83</v>
      </c>
      <c r="AG186" t="s">
        <v>83</v>
      </c>
      <c r="AH186" t="s">
        <v>83</v>
      </c>
      <c r="AI186" t="s">
        <v>83</v>
      </c>
      <c r="AJ186" t="s">
        <v>521</v>
      </c>
    </row>
    <row r="187" spans="1:36" ht="18.75" x14ac:dyDescent="0.25">
      <c r="A187" s="11">
        <f t="shared" si="3"/>
        <v>0.94117647058823528</v>
      </c>
      <c r="B187" s="13" t="str">
        <f t="array" aca="1" ref="B187" ca="1">OFFSET(C187,,MATCH(TRUE,C187:AJ187&lt;&gt;"",0)-1)</f>
        <v>Labeling of equipment for disconnecting and securing</v>
      </c>
      <c r="C187" s="8"/>
      <c r="D187" t="s">
        <v>137</v>
      </c>
      <c r="E187" t="s">
        <v>137</v>
      </c>
      <c r="F187" t="s">
        <v>269</v>
      </c>
      <c r="G187" t="s">
        <v>388</v>
      </c>
      <c r="H187" t="s">
        <v>471</v>
      </c>
      <c r="I187" t="s">
        <v>539</v>
      </c>
      <c r="J187" t="s">
        <v>551</v>
      </c>
      <c r="K187" t="s">
        <v>551</v>
      </c>
      <c r="L187" t="s">
        <v>137</v>
      </c>
      <c r="M187" t="s">
        <v>137</v>
      </c>
      <c r="N187" t="s">
        <v>471</v>
      </c>
      <c r="O187" t="s">
        <v>137</v>
      </c>
      <c r="P187" t="s">
        <v>137</v>
      </c>
      <c r="Q187" t="s">
        <v>137</v>
      </c>
      <c r="R187" t="s">
        <v>1416</v>
      </c>
      <c r="S187" t="s">
        <v>539</v>
      </c>
      <c r="T187" t="s">
        <v>137</v>
      </c>
      <c r="U187" t="s">
        <v>137</v>
      </c>
      <c r="V187" t="s">
        <v>137</v>
      </c>
      <c r="W187" t="s">
        <v>137</v>
      </c>
      <c r="X187" t="s">
        <v>137</v>
      </c>
      <c r="Y187" t="s">
        <v>137</v>
      </c>
      <c r="AA187" t="s">
        <v>137</v>
      </c>
      <c r="AB187" t="s">
        <v>137</v>
      </c>
      <c r="AC187" t="s">
        <v>119</v>
      </c>
      <c r="AD187" t="s">
        <v>137</v>
      </c>
      <c r="AE187" t="s">
        <v>137</v>
      </c>
      <c r="AF187" t="s">
        <v>137</v>
      </c>
      <c r="AG187" t="s">
        <v>137</v>
      </c>
      <c r="AH187" t="s">
        <v>137</v>
      </c>
      <c r="AI187" t="s">
        <v>137</v>
      </c>
      <c r="AJ187" t="s">
        <v>539</v>
      </c>
    </row>
    <row r="188" spans="1:36" ht="18.75" x14ac:dyDescent="0.25">
      <c r="A188" s="11">
        <f t="shared" si="3"/>
        <v>0.76470588235294112</v>
      </c>
      <c r="B188" s="13" t="str">
        <f t="array" aca="1" ref="B188" ca="1">OFFSET(C188,,MATCH(TRUE,C188:AJ188&lt;&gt;"",0)-1)</f>
        <v>Compatibility of materials</v>
      </c>
      <c r="C188" s="8" t="s">
        <v>119</v>
      </c>
      <c r="D188" t="s">
        <v>119</v>
      </c>
      <c r="F188" t="s">
        <v>270</v>
      </c>
      <c r="G188" t="s">
        <v>389</v>
      </c>
      <c r="I188" t="s">
        <v>540</v>
      </c>
      <c r="J188" t="s">
        <v>270</v>
      </c>
      <c r="K188" t="s">
        <v>270</v>
      </c>
      <c r="R188" t="s">
        <v>119</v>
      </c>
      <c r="S188" t="s">
        <v>540</v>
      </c>
      <c r="T188" t="s">
        <v>119</v>
      </c>
      <c r="U188" t="s">
        <v>119</v>
      </c>
      <c r="V188" t="s">
        <v>119</v>
      </c>
      <c r="W188" t="s">
        <v>119</v>
      </c>
      <c r="X188" t="s">
        <v>119</v>
      </c>
      <c r="Y188" t="s">
        <v>119</v>
      </c>
      <c r="Z188" t="s">
        <v>119</v>
      </c>
      <c r="AA188" t="s">
        <v>119</v>
      </c>
      <c r="AB188" t="s">
        <v>119</v>
      </c>
      <c r="AC188" t="s">
        <v>120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540</v>
      </c>
    </row>
    <row r="189" spans="1:36" ht="18.75" x14ac:dyDescent="0.25">
      <c r="A189" s="11">
        <f t="shared" si="3"/>
        <v>0.23529411764705888</v>
      </c>
      <c r="B189" s="13" t="str">
        <f t="array" aca="1" ref="B189" ca="1">OFFSET(C189,,MATCH(TRUE,C189:AJ189&lt;&gt;"",0)-1)</f>
        <v>Detergent</v>
      </c>
      <c r="C189" s="8"/>
      <c r="E189" t="s">
        <v>150</v>
      </c>
      <c r="H189" t="s">
        <v>472</v>
      </c>
      <c r="L189" t="s">
        <v>150</v>
      </c>
      <c r="M189" t="s">
        <v>150</v>
      </c>
      <c r="N189" t="s">
        <v>472</v>
      </c>
      <c r="O189" t="s">
        <v>150</v>
      </c>
      <c r="P189" t="s">
        <v>150</v>
      </c>
      <c r="Q189" t="s">
        <v>150</v>
      </c>
    </row>
    <row r="190" spans="1:36" ht="18.75" x14ac:dyDescent="0.25">
      <c r="A190" s="11">
        <f t="shared" si="3"/>
        <v>0.97058823529411764</v>
      </c>
      <c r="B190" s="13" t="str">
        <f t="array" aca="1" ref="B190" ca="1">OFFSET(C190,,MATCH(TRUE,C190:AJ190&lt;&gt;"",0)-1)</f>
        <v>Characteristics of the sealing materials</v>
      </c>
      <c r="C190" s="8" t="s">
        <v>120</v>
      </c>
      <c r="D190" t="s">
        <v>120</v>
      </c>
      <c r="E190" t="s">
        <v>120</v>
      </c>
      <c r="F190" t="s">
        <v>271</v>
      </c>
      <c r="G190" t="s">
        <v>390</v>
      </c>
      <c r="H190" t="s">
        <v>473</v>
      </c>
      <c r="I190" t="s">
        <v>541</v>
      </c>
      <c r="J190" t="s">
        <v>271</v>
      </c>
      <c r="K190" t="s">
        <v>271</v>
      </c>
      <c r="L190" t="s">
        <v>120</v>
      </c>
      <c r="M190" t="s">
        <v>120</v>
      </c>
      <c r="N190" t="s">
        <v>473</v>
      </c>
      <c r="O190" t="s">
        <v>120</v>
      </c>
      <c r="P190" t="s">
        <v>120</v>
      </c>
      <c r="Q190" t="s">
        <v>120</v>
      </c>
      <c r="R190" t="s">
        <v>120</v>
      </c>
      <c r="S190" t="s">
        <v>541</v>
      </c>
      <c r="T190" t="s">
        <v>120</v>
      </c>
      <c r="U190" t="s">
        <v>120</v>
      </c>
      <c r="V190" t="s">
        <v>120</v>
      </c>
      <c r="W190" t="s">
        <v>120</v>
      </c>
      <c r="X190" t="s">
        <v>120</v>
      </c>
      <c r="Y190" t="s">
        <v>120</v>
      </c>
      <c r="Z190" t="s">
        <v>120</v>
      </c>
      <c r="AA190" t="s">
        <v>120</v>
      </c>
      <c r="AB190" t="s">
        <v>120</v>
      </c>
      <c r="AD190" t="s">
        <v>120</v>
      </c>
      <c r="AE190" t="s">
        <v>120</v>
      </c>
      <c r="AF190" t="s">
        <v>120</v>
      </c>
      <c r="AG190" t="s">
        <v>120</v>
      </c>
      <c r="AH190" t="s">
        <v>120</v>
      </c>
      <c r="AI190" t="s">
        <v>120</v>
      </c>
      <c r="AJ190" t="s">
        <v>541</v>
      </c>
    </row>
    <row r="191" spans="1:36" ht="18.75" x14ac:dyDescent="0.25">
      <c r="A191" s="11">
        <f t="shared" si="3"/>
        <v>0.26470588235294112</v>
      </c>
      <c r="B191" s="13" t="str">
        <f t="array" aca="1" ref="B191" ca="1">OFFSET(C191,,MATCH(TRUE,C191:AJ191&lt;&gt;"",0)-1)</f>
        <v>Certificados</v>
      </c>
      <c r="C191" s="8"/>
      <c r="H191" t="s">
        <v>474</v>
      </c>
      <c r="I191" t="s">
        <v>474</v>
      </c>
      <c r="N191" t="s">
        <v>474</v>
      </c>
      <c r="O191" t="s">
        <v>1379</v>
      </c>
      <c r="R191" t="s">
        <v>1379</v>
      </c>
      <c r="S191" t="s">
        <v>543</v>
      </c>
      <c r="T191" t="s">
        <v>1379</v>
      </c>
      <c r="AD191" t="s">
        <v>1379</v>
      </c>
      <c r="AF191" t="s">
        <v>1379</v>
      </c>
    </row>
    <row r="192" spans="1:36" ht="18.75" x14ac:dyDescent="0.25">
      <c r="A192" s="11">
        <f t="shared" si="3"/>
        <v>0.23529411764705888</v>
      </c>
      <c r="B192" s="13" t="str">
        <f t="array" aca="1" ref="B192" ca="1">OFFSET(C192,,MATCH(TRUE,C192:AJ192&lt;&gt;"",0)-1)</f>
        <v>Declaración de conformidad CE</v>
      </c>
      <c r="C192" s="8"/>
      <c r="H192" t="s">
        <v>475</v>
      </c>
      <c r="I192" t="s">
        <v>542</v>
      </c>
      <c r="N192" t="s">
        <v>475</v>
      </c>
      <c r="O192" t="s">
        <v>1380</v>
      </c>
      <c r="R192" t="s">
        <v>1380</v>
      </c>
      <c r="T192" t="s">
        <v>1380</v>
      </c>
      <c r="AD192" t="s">
        <v>1380</v>
      </c>
      <c r="AF192" t="s">
        <v>1380</v>
      </c>
    </row>
    <row r="193" spans="1:36" ht="18.75" x14ac:dyDescent="0.25">
      <c r="A193" s="11">
        <f t="shared" si="3"/>
        <v>0.97058823529411764</v>
      </c>
      <c r="B193" s="13" t="str">
        <f t="array" aca="1" ref="B193" ca="1">OFFSET(C193,,MATCH(TRUE,C193:AJ193&lt;&gt;"",0)-1)</f>
        <v>Installation plan</v>
      </c>
      <c r="C193" s="8" t="s">
        <v>121</v>
      </c>
      <c r="D193" t="s">
        <v>121</v>
      </c>
      <c r="E193" t="s">
        <v>121</v>
      </c>
      <c r="F193" t="s">
        <v>272</v>
      </c>
      <c r="G193" t="s">
        <v>391</v>
      </c>
      <c r="H193" t="s">
        <v>476</v>
      </c>
      <c r="I193" t="s">
        <v>543</v>
      </c>
      <c r="J193" t="s">
        <v>272</v>
      </c>
      <c r="K193" t="s">
        <v>574</v>
      </c>
      <c r="L193" t="s">
        <v>121</v>
      </c>
      <c r="M193" t="s">
        <v>121</v>
      </c>
      <c r="N193" t="s">
        <v>476</v>
      </c>
      <c r="O193" t="s">
        <v>121</v>
      </c>
      <c r="P193" t="s">
        <v>121</v>
      </c>
      <c r="Q193" t="s">
        <v>121</v>
      </c>
      <c r="R193" t="s">
        <v>121</v>
      </c>
      <c r="T193" t="s">
        <v>121</v>
      </c>
      <c r="U193" t="s">
        <v>121</v>
      </c>
      <c r="V193" t="s">
        <v>121</v>
      </c>
      <c r="W193" t="s">
        <v>121</v>
      </c>
      <c r="X193" t="s">
        <v>121</v>
      </c>
      <c r="Y193" t="s">
        <v>121</v>
      </c>
      <c r="Z193" t="s">
        <v>121</v>
      </c>
      <c r="AA193" t="s">
        <v>121</v>
      </c>
      <c r="AB193" t="s">
        <v>121</v>
      </c>
      <c r="AC193" t="s">
        <v>121</v>
      </c>
      <c r="AD193" t="s">
        <v>121</v>
      </c>
      <c r="AE193" t="s">
        <v>121</v>
      </c>
      <c r="AF193" t="s">
        <v>121</v>
      </c>
      <c r="AG193" t="s">
        <v>121</v>
      </c>
      <c r="AH193" t="s">
        <v>121</v>
      </c>
      <c r="AI193" t="s">
        <v>121</v>
      </c>
      <c r="AJ193" t="s">
        <v>543</v>
      </c>
    </row>
    <row r="194" spans="1:36" ht="18.75" x14ac:dyDescent="0.25">
      <c r="A194" s="11">
        <f t="shared" si="3"/>
        <v>8.8235294117647078E-2</v>
      </c>
      <c r="B194" s="13" t="str">
        <f t="array" aca="1" ref="B194" ca="1">OFFSET(C194,,MATCH(TRUE,C194:AJ194&lt;&gt;"",0)-1)</f>
        <v>Cleaning system</v>
      </c>
      <c r="C194" s="8" t="s">
        <v>30</v>
      </c>
      <c r="Z194" t="s">
        <v>30</v>
      </c>
      <c r="AC194" t="s">
        <v>30</v>
      </c>
    </row>
    <row r="195" spans="1:36" ht="18.75" x14ac:dyDescent="0.25">
      <c r="A195" s="11">
        <f t="shared" si="3"/>
        <v>8.8235294117647078E-2</v>
      </c>
      <c r="B195" s="13" t="str">
        <f t="array" aca="1" ref="B195" ca="1">OFFSET(C195,,MATCH(TRUE,C195:AJ195&lt;&gt;"",0)-1)</f>
        <v>Area CR69</v>
      </c>
      <c r="C195" s="8" t="s">
        <v>122</v>
      </c>
      <c r="Z195" t="s">
        <v>122</v>
      </c>
      <c r="AC195" t="s">
        <v>122</v>
      </c>
    </row>
    <row r="196" spans="1:36" ht="18.75" x14ac:dyDescent="0.25">
      <c r="A196" s="11">
        <f t="shared" si="3"/>
        <v>8.8235294117647078E-2</v>
      </c>
      <c r="B196" s="13" t="str">
        <f t="array" aca="1" ref="B196" ca="1">OFFSET(C196,,MATCH(TRUE,C196:AJ196&lt;&gt;"",0)-1)</f>
        <v>Heater for fresh water (area CR83)</v>
      </c>
      <c r="C196" s="8" t="s">
        <v>36</v>
      </c>
      <c r="Z196" t="s">
        <v>36</v>
      </c>
      <c r="AC196" t="s">
        <v>36</v>
      </c>
    </row>
    <row r="197" spans="1:36" ht="18.75" x14ac:dyDescent="0.25">
      <c r="A197" s="11">
        <f t="shared" si="3"/>
        <v>8.8235294117647078E-2</v>
      </c>
      <c r="B197" s="13" t="str">
        <f t="array" aca="1" ref="B197" ca="1">OFFSET(C197,,MATCH(TRUE,C197:AJ197&lt;&gt;"",0)-1)</f>
        <v>Heater for fresh water (area CR84)</v>
      </c>
      <c r="C197" s="8" t="s">
        <v>35</v>
      </c>
      <c r="Z197" t="s">
        <v>35</v>
      </c>
      <c r="AC197" t="s">
        <v>35</v>
      </c>
    </row>
    <row r="198" spans="1:36" ht="18.75" x14ac:dyDescent="0.25">
      <c r="A198" s="11">
        <f t="shared" si="3"/>
        <v>1</v>
      </c>
      <c r="B198" s="13" t="str">
        <f t="array" aca="1" ref="B198" ca="1">OFFSET(C198,,MATCH(TRUE,C198:AJ198&lt;&gt;"",0)-1)</f>
        <v>Piping and instrumentation diagram (P&amp;ID)</v>
      </c>
      <c r="C198" s="8" t="s">
        <v>123</v>
      </c>
      <c r="D198" t="s">
        <v>123</v>
      </c>
      <c r="E198" t="s">
        <v>123</v>
      </c>
      <c r="F198" t="s">
        <v>273</v>
      </c>
      <c r="G198" t="s">
        <v>392</v>
      </c>
      <c r="H198" t="s">
        <v>477</v>
      </c>
      <c r="I198" t="s">
        <v>544</v>
      </c>
      <c r="J198" t="s">
        <v>273</v>
      </c>
      <c r="K198" t="s">
        <v>273</v>
      </c>
      <c r="L198" t="s">
        <v>123</v>
      </c>
      <c r="M198" t="s">
        <v>123</v>
      </c>
      <c r="N198" t="s">
        <v>477</v>
      </c>
      <c r="O198" t="s">
        <v>123</v>
      </c>
      <c r="P198" t="s">
        <v>123</v>
      </c>
      <c r="Q198" t="s">
        <v>123</v>
      </c>
      <c r="R198" t="s">
        <v>123</v>
      </c>
      <c r="S198" t="s">
        <v>544</v>
      </c>
      <c r="T198" t="s">
        <v>123</v>
      </c>
      <c r="U198" t="s">
        <v>123</v>
      </c>
      <c r="V198" t="s">
        <v>123</v>
      </c>
      <c r="W198" t="s">
        <v>123</v>
      </c>
      <c r="X198" t="s">
        <v>123</v>
      </c>
      <c r="Y198" t="s">
        <v>123</v>
      </c>
      <c r="Z198" t="s">
        <v>123</v>
      </c>
      <c r="AA198" t="s">
        <v>123</v>
      </c>
      <c r="AB198" t="s">
        <v>123</v>
      </c>
      <c r="AC198" t="s">
        <v>123</v>
      </c>
      <c r="AD198" t="s">
        <v>123</v>
      </c>
      <c r="AE198" t="s">
        <v>123</v>
      </c>
      <c r="AF198" t="s">
        <v>123</v>
      </c>
      <c r="AG198" t="s">
        <v>123</v>
      </c>
      <c r="AH198" t="s">
        <v>123</v>
      </c>
      <c r="AI198" t="s">
        <v>123</v>
      </c>
      <c r="AJ198" t="s">
        <v>544</v>
      </c>
    </row>
    <row r="199" spans="1:36" ht="18.75" x14ac:dyDescent="0.25">
      <c r="A199" s="11">
        <f t="shared" ref="A199:A201" si="4">(1-COUNTBLANK(C199:AJ199)/COLUMNS(C199:AJ199))</f>
        <v>1</v>
      </c>
      <c r="B199" s="13" t="str">
        <f t="array" aca="1" ref="B199" ca="1">OFFSET(C199,,MATCH(TRUE,C199:AJ199&lt;&gt;"",0)-1)</f>
        <v>Legend</v>
      </c>
      <c r="C199" s="8" t="s">
        <v>124</v>
      </c>
      <c r="D199" t="s">
        <v>124</v>
      </c>
      <c r="E199" t="s">
        <v>124</v>
      </c>
      <c r="F199" t="s">
        <v>274</v>
      </c>
      <c r="G199" t="s">
        <v>393</v>
      </c>
      <c r="H199" t="s">
        <v>393</v>
      </c>
      <c r="I199" t="s">
        <v>274</v>
      </c>
      <c r="J199" t="s">
        <v>274</v>
      </c>
      <c r="K199" t="s">
        <v>274</v>
      </c>
      <c r="L199" t="s">
        <v>124</v>
      </c>
      <c r="M199" t="s">
        <v>124</v>
      </c>
      <c r="N199" t="s">
        <v>393</v>
      </c>
      <c r="O199" t="s">
        <v>124</v>
      </c>
      <c r="P199" t="s">
        <v>124</v>
      </c>
      <c r="Q199" t="s">
        <v>124</v>
      </c>
      <c r="R199" t="s">
        <v>124</v>
      </c>
      <c r="S199" t="s">
        <v>274</v>
      </c>
      <c r="T199" t="s">
        <v>124</v>
      </c>
      <c r="U199" t="s">
        <v>124</v>
      </c>
      <c r="V199" t="s">
        <v>124</v>
      </c>
      <c r="W199" t="s">
        <v>124</v>
      </c>
      <c r="X199" t="s">
        <v>124</v>
      </c>
      <c r="Y199" t="s">
        <v>124</v>
      </c>
      <c r="Z199" t="s">
        <v>124</v>
      </c>
      <c r="AA199" t="s">
        <v>124</v>
      </c>
      <c r="AB199" t="s">
        <v>124</v>
      </c>
      <c r="AC199" t="s">
        <v>124</v>
      </c>
      <c r="AD199" t="s">
        <v>124</v>
      </c>
      <c r="AE199" t="s">
        <v>124</v>
      </c>
      <c r="AF199" t="s">
        <v>124</v>
      </c>
      <c r="AG199" t="s">
        <v>124</v>
      </c>
      <c r="AH199" t="s">
        <v>124</v>
      </c>
      <c r="AI199" t="s">
        <v>124</v>
      </c>
      <c r="AJ199" t="s">
        <v>274</v>
      </c>
    </row>
    <row r="200" spans="1:36" ht="18.75" x14ac:dyDescent="0.25">
      <c r="A200" s="11">
        <f t="shared" si="4"/>
        <v>5.8823529411764719E-2</v>
      </c>
      <c r="B200" s="13" t="str">
        <f t="array" aca="1" ref="B200" ca="1">OFFSET(C200,,MATCH(TRUE,C200:AJ200&lt;&gt;"",0)-1)</f>
        <v>Media connection list</v>
      </c>
      <c r="C200" s="8"/>
      <c r="E200" t="s">
        <v>151</v>
      </c>
      <c r="L200" t="s">
        <v>151</v>
      </c>
    </row>
    <row r="201" spans="1:36" ht="18.75" x14ac:dyDescent="0.25">
      <c r="A201" s="11">
        <f t="shared" si="4"/>
        <v>1</v>
      </c>
      <c r="B201" s="12" t="str">
        <f t="array" aca="1" ref="B201" ca="1">OFFSET(C201,,MATCH(TRUE,C201:AJ201&lt;&gt;"",0)-1)</f>
        <v>Appendix</v>
      </c>
      <c r="C201" s="9" t="s">
        <v>125</v>
      </c>
      <c r="D201" s="5" t="s">
        <v>125</v>
      </c>
      <c r="E201" s="5" t="s">
        <v>125</v>
      </c>
      <c r="F201" s="5" t="s">
        <v>275</v>
      </c>
      <c r="G201" s="5" t="s">
        <v>394</v>
      </c>
      <c r="H201" s="5" t="s">
        <v>394</v>
      </c>
      <c r="I201" s="5" t="s">
        <v>275</v>
      </c>
      <c r="J201" s="5" t="s">
        <v>275</v>
      </c>
      <c r="K201" s="5" t="s">
        <v>275</v>
      </c>
      <c r="L201" s="5" t="s">
        <v>125</v>
      </c>
      <c r="M201" s="5" t="s">
        <v>125</v>
      </c>
      <c r="N201" s="5" t="s">
        <v>394</v>
      </c>
      <c r="O201" s="5" t="s">
        <v>125</v>
      </c>
      <c r="P201" s="5" t="s">
        <v>125</v>
      </c>
      <c r="Q201" s="5" t="s">
        <v>125</v>
      </c>
      <c r="R201" s="5" t="s">
        <v>125</v>
      </c>
      <c r="S201" s="5" t="s">
        <v>275</v>
      </c>
      <c r="T201" s="5" t="s">
        <v>125</v>
      </c>
      <c r="U201" s="5" t="s">
        <v>125</v>
      </c>
      <c r="V201" s="5" t="s">
        <v>125</v>
      </c>
      <c r="W201" s="5" t="s">
        <v>125</v>
      </c>
      <c r="X201" s="5" t="s">
        <v>125</v>
      </c>
      <c r="Y201" s="5" t="s">
        <v>125</v>
      </c>
      <c r="Z201" s="5" t="s">
        <v>125</v>
      </c>
      <c r="AA201" s="5" t="s">
        <v>125</v>
      </c>
      <c r="AB201" s="5" t="s">
        <v>125</v>
      </c>
      <c r="AC201" s="5" t="s">
        <v>125</v>
      </c>
      <c r="AD201" s="5" t="s">
        <v>125</v>
      </c>
      <c r="AE201" s="5" t="s">
        <v>125</v>
      </c>
      <c r="AF201" s="5" t="s">
        <v>125</v>
      </c>
      <c r="AG201" s="5" t="s">
        <v>125</v>
      </c>
      <c r="AH201" s="5" t="s">
        <v>125</v>
      </c>
      <c r="AI201" s="5" t="s">
        <v>125</v>
      </c>
      <c r="AJ201" s="5" t="s">
        <v>275</v>
      </c>
    </row>
  </sheetData>
  <mergeCells count="1">
    <mergeCell ref="A2:A4"/>
  </mergeCells>
  <conditionalFormatting sqref="A6:A201">
    <cfRule type="colorScale" priority="23">
      <colorScale>
        <cfvo type="num" val="0"/>
        <cfvo type="percentile" val="1"/>
        <cfvo type="max"/>
        <color theme="0"/>
        <color rgb="FFFF5050"/>
        <color rgb="FF92D050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95EA7-06A0-4FC9-A9D8-5854BA4A4FBA}">
  <dimension ref="A3:K227"/>
  <sheetViews>
    <sheetView zoomScale="70" zoomScaleNormal="70" workbookViewId="0">
      <selection activeCell="C1" sqref="C1"/>
    </sheetView>
  </sheetViews>
  <sheetFormatPr defaultRowHeight="15" x14ac:dyDescent="0.25"/>
  <cols>
    <col min="1" max="1" width="64.42578125" bestFit="1" customWidth="1"/>
    <col min="3" max="3" width="64.42578125" bestFit="1" customWidth="1"/>
    <col min="5" max="5" width="55.85546875" bestFit="1" customWidth="1"/>
    <col min="7" max="7" width="80.140625" bestFit="1" customWidth="1"/>
    <col min="9" max="9" width="68" bestFit="1" customWidth="1"/>
  </cols>
  <sheetData>
    <row r="3" spans="1:11" x14ac:dyDescent="0.25">
      <c r="A3" t="s">
        <v>1098</v>
      </c>
      <c r="C3" t="s">
        <v>1097</v>
      </c>
      <c r="E3" t="s">
        <v>1096</v>
      </c>
      <c r="G3" t="s">
        <v>1095</v>
      </c>
    </row>
    <row r="5" spans="1:11" x14ac:dyDescent="0.25">
      <c r="A5" t="s">
        <v>576</v>
      </c>
      <c r="C5" t="s">
        <v>576</v>
      </c>
      <c r="E5" t="s">
        <v>712</v>
      </c>
      <c r="I5" t="s">
        <v>1099</v>
      </c>
      <c r="K5" t="s">
        <v>1099</v>
      </c>
    </row>
    <row r="6" spans="1:11" x14ac:dyDescent="0.25">
      <c r="A6" t="s">
        <v>577</v>
      </c>
      <c r="C6" t="s">
        <v>577</v>
      </c>
      <c r="E6" t="s">
        <v>713</v>
      </c>
      <c r="G6" t="s">
        <v>881</v>
      </c>
      <c r="I6" t="s">
        <v>1100</v>
      </c>
      <c r="K6" t="s">
        <v>1100</v>
      </c>
    </row>
    <row r="7" spans="1:11" x14ac:dyDescent="0.25">
      <c r="A7" t="s">
        <v>578</v>
      </c>
      <c r="C7" t="s">
        <v>578</v>
      </c>
      <c r="E7" t="s">
        <v>714</v>
      </c>
      <c r="G7" t="s">
        <v>882</v>
      </c>
      <c r="I7" t="s">
        <v>1101</v>
      </c>
      <c r="K7" t="s">
        <v>1101</v>
      </c>
    </row>
    <row r="8" spans="1:11" x14ac:dyDescent="0.25">
      <c r="A8" t="s">
        <v>579</v>
      </c>
      <c r="C8" t="s">
        <v>579</v>
      </c>
      <c r="E8" t="s">
        <v>715</v>
      </c>
      <c r="G8" t="s">
        <v>883</v>
      </c>
      <c r="I8" t="s">
        <v>883</v>
      </c>
      <c r="K8" t="s">
        <v>883</v>
      </c>
    </row>
    <row r="9" spans="1:11" x14ac:dyDescent="0.25">
      <c r="A9" t="s">
        <v>580</v>
      </c>
      <c r="C9" t="s">
        <v>580</v>
      </c>
      <c r="E9" t="s">
        <v>716</v>
      </c>
      <c r="G9" t="s">
        <v>884</v>
      </c>
      <c r="I9" t="s">
        <v>1102</v>
      </c>
      <c r="K9" t="s">
        <v>1243</v>
      </c>
    </row>
    <row r="10" spans="1:11" x14ac:dyDescent="0.25">
      <c r="A10" t="s">
        <v>581</v>
      </c>
      <c r="C10" t="s">
        <v>581</v>
      </c>
      <c r="E10" t="s">
        <v>717</v>
      </c>
      <c r="G10" t="s">
        <v>885</v>
      </c>
      <c r="I10" t="s">
        <v>1103</v>
      </c>
      <c r="K10" t="s">
        <v>1244</v>
      </c>
    </row>
    <row r="11" spans="1:11" x14ac:dyDescent="0.25">
      <c r="A11" t="s">
        <v>582</v>
      </c>
      <c r="C11" t="s">
        <v>582</v>
      </c>
      <c r="E11" t="s">
        <v>718</v>
      </c>
      <c r="G11" t="s">
        <v>886</v>
      </c>
      <c r="I11" s="2">
        <v>43862</v>
      </c>
      <c r="K11" s="2">
        <v>43862</v>
      </c>
    </row>
    <row r="12" spans="1:11" x14ac:dyDescent="0.25">
      <c r="A12" t="s">
        <v>583</v>
      </c>
      <c r="C12" t="s">
        <v>583</v>
      </c>
      <c r="E12" t="s">
        <v>719</v>
      </c>
      <c r="G12" t="s">
        <v>887</v>
      </c>
      <c r="I12" t="s">
        <v>885</v>
      </c>
      <c r="K12" t="s">
        <v>885</v>
      </c>
    </row>
    <row r="13" spans="1:11" x14ac:dyDescent="0.25">
      <c r="A13" t="s">
        <v>584</v>
      </c>
      <c r="C13" t="s">
        <v>584</v>
      </c>
      <c r="E13" t="s">
        <v>720</v>
      </c>
      <c r="G13" t="s">
        <v>888</v>
      </c>
      <c r="I13" t="s">
        <v>1104</v>
      </c>
      <c r="K13" t="s">
        <v>1104</v>
      </c>
    </row>
    <row r="14" spans="1:11" x14ac:dyDescent="0.25">
      <c r="A14" t="s">
        <v>585</v>
      </c>
      <c r="C14" t="s">
        <v>585</v>
      </c>
      <c r="E14" t="s">
        <v>721</v>
      </c>
      <c r="G14" t="s">
        <v>889</v>
      </c>
      <c r="I14" t="s">
        <v>1105</v>
      </c>
      <c r="K14" t="s">
        <v>1105</v>
      </c>
    </row>
    <row r="15" spans="1:11" x14ac:dyDescent="0.25">
      <c r="A15" t="s">
        <v>586</v>
      </c>
      <c r="C15" t="s">
        <v>586</v>
      </c>
      <c r="E15" t="s">
        <v>722</v>
      </c>
      <c r="G15" t="s">
        <v>890</v>
      </c>
      <c r="I15" t="s">
        <v>1106</v>
      </c>
      <c r="K15" t="s">
        <v>1106</v>
      </c>
    </row>
    <row r="16" spans="1:11" x14ac:dyDescent="0.25">
      <c r="A16" t="s">
        <v>587</v>
      </c>
      <c r="C16" t="s">
        <v>587</v>
      </c>
      <c r="E16" t="s">
        <v>723</v>
      </c>
      <c r="G16" t="s">
        <v>891</v>
      </c>
      <c r="I16" t="s">
        <v>1107</v>
      </c>
      <c r="K16" t="s">
        <v>1107</v>
      </c>
    </row>
    <row r="17" spans="1:11" x14ac:dyDescent="0.25">
      <c r="A17" t="s">
        <v>588</v>
      </c>
      <c r="C17" t="s">
        <v>588</v>
      </c>
      <c r="E17" t="s">
        <v>724</v>
      </c>
      <c r="G17" t="s">
        <v>892</v>
      </c>
      <c r="I17" t="s">
        <v>1108</v>
      </c>
      <c r="K17" t="s">
        <v>1108</v>
      </c>
    </row>
    <row r="18" spans="1:11" x14ac:dyDescent="0.25">
      <c r="A18" t="s">
        <v>589</v>
      </c>
      <c r="C18" t="s">
        <v>589</v>
      </c>
      <c r="E18" t="s">
        <v>725</v>
      </c>
      <c r="G18" t="s">
        <v>893</v>
      </c>
      <c r="I18" t="s">
        <v>1109</v>
      </c>
      <c r="K18" t="s">
        <v>1109</v>
      </c>
    </row>
    <row r="19" spans="1:11" x14ac:dyDescent="0.25">
      <c r="A19" t="s">
        <v>590</v>
      </c>
      <c r="C19" t="s">
        <v>590</v>
      </c>
      <c r="E19" t="s">
        <v>726</v>
      </c>
      <c r="G19" t="s">
        <v>894</v>
      </c>
      <c r="I19" t="s">
        <v>893</v>
      </c>
      <c r="K19" t="s">
        <v>893</v>
      </c>
    </row>
    <row r="20" spans="1:11" x14ac:dyDescent="0.25">
      <c r="A20" t="s">
        <v>591</v>
      </c>
      <c r="C20" t="s">
        <v>591</v>
      </c>
      <c r="E20" t="s">
        <v>727</v>
      </c>
      <c r="G20" t="s">
        <v>895</v>
      </c>
      <c r="I20" t="s">
        <v>894</v>
      </c>
      <c r="K20" t="s">
        <v>894</v>
      </c>
    </row>
    <row r="21" spans="1:11" x14ac:dyDescent="0.25">
      <c r="A21" t="s">
        <v>592</v>
      </c>
      <c r="C21" t="s">
        <v>592</v>
      </c>
      <c r="E21" t="s">
        <v>728</v>
      </c>
      <c r="G21" t="s">
        <v>896</v>
      </c>
      <c r="I21" t="s">
        <v>895</v>
      </c>
      <c r="K21" t="s">
        <v>895</v>
      </c>
    </row>
    <row r="22" spans="1:11" x14ac:dyDescent="0.25">
      <c r="A22" t="s">
        <v>593</v>
      </c>
      <c r="C22" t="s">
        <v>593</v>
      </c>
      <c r="E22" t="s">
        <v>729</v>
      </c>
      <c r="G22" t="s">
        <v>897</v>
      </c>
      <c r="I22" t="s">
        <v>1110</v>
      </c>
      <c r="K22" t="s">
        <v>1245</v>
      </c>
    </row>
    <row r="23" spans="1:11" x14ac:dyDescent="0.25">
      <c r="A23" t="s">
        <v>594</v>
      </c>
      <c r="C23" t="s">
        <v>594</v>
      </c>
      <c r="E23" t="s">
        <v>730</v>
      </c>
      <c r="G23" s="2">
        <v>43923</v>
      </c>
      <c r="I23" t="s">
        <v>1111</v>
      </c>
      <c r="K23" t="s">
        <v>1246</v>
      </c>
    </row>
    <row r="24" spans="1:11" x14ac:dyDescent="0.25">
      <c r="A24" t="s">
        <v>595</v>
      </c>
      <c r="C24" t="s">
        <v>595</v>
      </c>
      <c r="E24" t="s">
        <v>731</v>
      </c>
      <c r="G24" t="s">
        <v>898</v>
      </c>
      <c r="I24" t="s">
        <v>1112</v>
      </c>
      <c r="K24" t="s">
        <v>1247</v>
      </c>
    </row>
    <row r="25" spans="1:11" x14ac:dyDescent="0.25">
      <c r="A25" t="s">
        <v>596</v>
      </c>
      <c r="C25" t="s">
        <v>596</v>
      </c>
      <c r="E25" t="s">
        <v>732</v>
      </c>
      <c r="G25" t="s">
        <v>899</v>
      </c>
      <c r="I25" t="s">
        <v>1113</v>
      </c>
      <c r="K25" s="2">
        <v>43832</v>
      </c>
    </row>
    <row r="26" spans="1:11" x14ac:dyDescent="0.25">
      <c r="A26" t="s">
        <v>597</v>
      </c>
      <c r="C26" t="s">
        <v>597</v>
      </c>
      <c r="E26" t="s">
        <v>733</v>
      </c>
      <c r="G26" t="s">
        <v>900</v>
      </c>
      <c r="I26" t="s">
        <v>1114</v>
      </c>
      <c r="K26" t="s">
        <v>1112</v>
      </c>
    </row>
    <row r="27" spans="1:11" x14ac:dyDescent="0.25">
      <c r="A27" t="s">
        <v>598</v>
      </c>
      <c r="C27" t="s">
        <v>598</v>
      </c>
      <c r="E27" t="s">
        <v>734</v>
      </c>
      <c r="G27" t="s">
        <v>901</v>
      </c>
      <c r="I27" t="s">
        <v>1115</v>
      </c>
      <c r="K27" t="s">
        <v>1113</v>
      </c>
    </row>
    <row r="28" spans="1:11" x14ac:dyDescent="0.25">
      <c r="A28" t="s">
        <v>599</v>
      </c>
      <c r="C28" t="s">
        <v>599</v>
      </c>
      <c r="E28" t="s">
        <v>735</v>
      </c>
      <c r="G28" t="s">
        <v>902</v>
      </c>
      <c r="I28" t="s">
        <v>1116</v>
      </c>
      <c r="K28" t="s">
        <v>1114</v>
      </c>
    </row>
    <row r="29" spans="1:11" x14ac:dyDescent="0.25">
      <c r="A29" t="s">
        <v>600</v>
      </c>
      <c r="C29" t="s">
        <v>600</v>
      </c>
      <c r="E29" t="s">
        <v>736</v>
      </c>
      <c r="G29" t="s">
        <v>903</v>
      </c>
      <c r="I29" s="2">
        <v>43863</v>
      </c>
      <c r="K29" t="s">
        <v>1115</v>
      </c>
    </row>
    <row r="30" spans="1:11" x14ac:dyDescent="0.25">
      <c r="A30" t="s">
        <v>601</v>
      </c>
      <c r="C30" t="s">
        <v>601</v>
      </c>
      <c r="E30" t="s">
        <v>737</v>
      </c>
      <c r="G30" t="s">
        <v>904</v>
      </c>
      <c r="I30" t="s">
        <v>1117</v>
      </c>
      <c r="K30" t="s">
        <v>1116</v>
      </c>
    </row>
    <row r="31" spans="1:11" x14ac:dyDescent="0.25">
      <c r="A31" t="s">
        <v>602</v>
      </c>
      <c r="C31" t="s">
        <v>668</v>
      </c>
      <c r="E31" t="s">
        <v>738</v>
      </c>
      <c r="G31" t="s">
        <v>905</v>
      </c>
      <c r="I31" t="s">
        <v>1118</v>
      </c>
      <c r="K31" s="2">
        <v>43863</v>
      </c>
    </row>
    <row r="32" spans="1:11" x14ac:dyDescent="0.25">
      <c r="A32" t="s">
        <v>603</v>
      </c>
      <c r="C32" t="s">
        <v>669</v>
      </c>
      <c r="E32" t="s">
        <v>739</v>
      </c>
      <c r="G32" t="s">
        <v>906</v>
      </c>
      <c r="I32" s="2">
        <v>43892</v>
      </c>
      <c r="K32" t="s">
        <v>1117</v>
      </c>
    </row>
    <row r="33" spans="1:11" x14ac:dyDescent="0.25">
      <c r="A33" t="s">
        <v>604</v>
      </c>
      <c r="C33" t="s">
        <v>670</v>
      </c>
      <c r="E33" t="s">
        <v>740</v>
      </c>
      <c r="G33" t="s">
        <v>907</v>
      </c>
      <c r="I33" t="s">
        <v>1119</v>
      </c>
      <c r="K33" t="s">
        <v>1118</v>
      </c>
    </row>
    <row r="34" spans="1:11" x14ac:dyDescent="0.25">
      <c r="A34" t="s">
        <v>605</v>
      </c>
      <c r="C34" t="s">
        <v>671</v>
      </c>
      <c r="E34" t="s">
        <v>741</v>
      </c>
      <c r="G34" s="3">
        <v>42401</v>
      </c>
      <c r="I34" t="s">
        <v>1120</v>
      </c>
      <c r="K34" s="2">
        <v>43892</v>
      </c>
    </row>
    <row r="35" spans="1:11" x14ac:dyDescent="0.25">
      <c r="A35" t="s">
        <v>606</v>
      </c>
      <c r="C35" t="s">
        <v>672</v>
      </c>
      <c r="E35" t="s">
        <v>742</v>
      </c>
      <c r="G35" t="s">
        <v>908</v>
      </c>
      <c r="I35" t="s">
        <v>1121</v>
      </c>
      <c r="K35" t="s">
        <v>1119</v>
      </c>
    </row>
    <row r="36" spans="1:11" x14ac:dyDescent="0.25">
      <c r="A36" t="s">
        <v>607</v>
      </c>
      <c r="C36" t="s">
        <v>673</v>
      </c>
      <c r="E36" t="s">
        <v>743</v>
      </c>
      <c r="G36" t="s">
        <v>909</v>
      </c>
      <c r="I36" s="2">
        <v>43892</v>
      </c>
      <c r="K36" t="s">
        <v>1120</v>
      </c>
    </row>
    <row r="37" spans="1:11" x14ac:dyDescent="0.25">
      <c r="A37" t="s">
        <v>608</v>
      </c>
      <c r="C37" t="s">
        <v>674</v>
      </c>
      <c r="E37" t="s">
        <v>744</v>
      </c>
      <c r="G37" t="s">
        <v>910</v>
      </c>
      <c r="I37" t="s">
        <v>1122</v>
      </c>
      <c r="K37" t="s">
        <v>1121</v>
      </c>
    </row>
    <row r="38" spans="1:11" x14ac:dyDescent="0.25">
      <c r="A38" t="s">
        <v>609</v>
      </c>
      <c r="C38" t="s">
        <v>675</v>
      </c>
      <c r="E38" s="2" t="s">
        <v>745</v>
      </c>
      <c r="G38" t="s">
        <v>911</v>
      </c>
      <c r="I38" t="s">
        <v>1123</v>
      </c>
      <c r="K38" s="2">
        <v>43892</v>
      </c>
    </row>
    <row r="39" spans="1:11" x14ac:dyDescent="0.25">
      <c r="A39" t="s">
        <v>610</v>
      </c>
      <c r="C39" t="s">
        <v>610</v>
      </c>
      <c r="E39" t="s">
        <v>746</v>
      </c>
      <c r="G39" t="s">
        <v>912</v>
      </c>
      <c r="I39" t="s">
        <v>1124</v>
      </c>
      <c r="K39" t="s">
        <v>1122</v>
      </c>
    </row>
    <row r="40" spans="1:11" x14ac:dyDescent="0.25">
      <c r="A40" t="s">
        <v>611</v>
      </c>
      <c r="C40" t="s">
        <v>611</v>
      </c>
      <c r="E40" s="3"/>
      <c r="G40" t="s">
        <v>913</v>
      </c>
      <c r="I40" t="s">
        <v>1125</v>
      </c>
      <c r="K40" t="s">
        <v>1123</v>
      </c>
    </row>
    <row r="41" spans="1:11" x14ac:dyDescent="0.25">
      <c r="A41" t="s">
        <v>612</v>
      </c>
      <c r="C41" t="s">
        <v>676</v>
      </c>
      <c r="E41" t="s">
        <v>747</v>
      </c>
      <c r="G41" t="s">
        <v>914</v>
      </c>
      <c r="I41" t="s">
        <v>1126</v>
      </c>
      <c r="K41" t="s">
        <v>1124</v>
      </c>
    </row>
    <row r="42" spans="1:11" x14ac:dyDescent="0.25">
      <c r="A42" t="s">
        <v>613</v>
      </c>
      <c r="C42" t="s">
        <v>677</v>
      </c>
      <c r="E42" t="s">
        <v>748</v>
      </c>
      <c r="G42" t="s">
        <v>915</v>
      </c>
      <c r="I42" t="s">
        <v>1127</v>
      </c>
      <c r="K42" t="s">
        <v>1125</v>
      </c>
    </row>
    <row r="43" spans="1:11" x14ac:dyDescent="0.25">
      <c r="A43" t="s">
        <v>614</v>
      </c>
      <c r="C43" t="s">
        <v>678</v>
      </c>
      <c r="E43" t="s">
        <v>749</v>
      </c>
      <c r="G43" t="s">
        <v>916</v>
      </c>
      <c r="I43" t="s">
        <v>1128</v>
      </c>
      <c r="K43" t="s">
        <v>1126</v>
      </c>
    </row>
    <row r="44" spans="1:11" x14ac:dyDescent="0.25">
      <c r="A44" t="s">
        <v>615</v>
      </c>
      <c r="C44" t="s">
        <v>679</v>
      </c>
      <c r="E44" t="s">
        <v>750</v>
      </c>
      <c r="G44" t="s">
        <v>917</v>
      </c>
      <c r="I44" t="s">
        <v>1129</v>
      </c>
      <c r="K44" t="s">
        <v>1127</v>
      </c>
    </row>
    <row r="45" spans="1:11" x14ac:dyDescent="0.25">
      <c r="A45" t="s">
        <v>616</v>
      </c>
      <c r="C45" t="s">
        <v>680</v>
      </c>
      <c r="E45" t="s">
        <v>751</v>
      </c>
      <c r="G45" t="s">
        <v>918</v>
      </c>
      <c r="I45" t="s">
        <v>899</v>
      </c>
      <c r="K45" t="s">
        <v>1128</v>
      </c>
    </row>
    <row r="46" spans="1:11" x14ac:dyDescent="0.25">
      <c r="A46" t="s">
        <v>617</v>
      </c>
      <c r="C46" t="s">
        <v>681</v>
      </c>
      <c r="E46" t="s">
        <v>752</v>
      </c>
      <c r="G46" t="s">
        <v>919</v>
      </c>
      <c r="I46" t="s">
        <v>1130</v>
      </c>
      <c r="K46" t="s">
        <v>1129</v>
      </c>
    </row>
    <row r="47" spans="1:11" x14ac:dyDescent="0.25">
      <c r="A47" t="s">
        <v>618</v>
      </c>
      <c r="C47" t="s">
        <v>682</v>
      </c>
      <c r="E47" t="s">
        <v>753</v>
      </c>
      <c r="G47" t="s">
        <v>920</v>
      </c>
      <c r="I47" t="s">
        <v>1131</v>
      </c>
      <c r="K47" t="s">
        <v>1248</v>
      </c>
    </row>
    <row r="48" spans="1:11" x14ac:dyDescent="0.25">
      <c r="A48" t="s">
        <v>619</v>
      </c>
      <c r="C48" t="s">
        <v>683</v>
      </c>
      <c r="E48" t="s">
        <v>754</v>
      </c>
      <c r="G48" t="s">
        <v>921</v>
      </c>
      <c r="I48" s="2">
        <v>44106</v>
      </c>
      <c r="K48" t="s">
        <v>1130</v>
      </c>
    </row>
    <row r="49" spans="1:11" x14ac:dyDescent="0.25">
      <c r="A49" t="s">
        <v>620</v>
      </c>
      <c r="C49" t="s">
        <v>684</v>
      </c>
      <c r="E49" t="s">
        <v>755</v>
      </c>
      <c r="G49" t="s">
        <v>922</v>
      </c>
      <c r="I49" t="s">
        <v>1132</v>
      </c>
      <c r="K49" t="s">
        <v>1131</v>
      </c>
    </row>
    <row r="50" spans="1:11" x14ac:dyDescent="0.25">
      <c r="A50" t="s">
        <v>621</v>
      </c>
      <c r="C50" t="s">
        <v>685</v>
      </c>
      <c r="E50" t="s">
        <v>756</v>
      </c>
      <c r="G50" t="s">
        <v>923</v>
      </c>
      <c r="I50" t="s">
        <v>1133</v>
      </c>
      <c r="K50" s="2">
        <v>44106</v>
      </c>
    </row>
    <row r="51" spans="1:11" x14ac:dyDescent="0.25">
      <c r="A51" t="s">
        <v>622</v>
      </c>
      <c r="C51" t="s">
        <v>631</v>
      </c>
      <c r="E51" t="s">
        <v>757</v>
      </c>
      <c r="G51" t="s">
        <v>924</v>
      </c>
      <c r="I51" s="2">
        <v>44137</v>
      </c>
      <c r="K51" t="s">
        <v>1132</v>
      </c>
    </row>
    <row r="52" spans="1:11" x14ac:dyDescent="0.25">
      <c r="A52" t="s">
        <v>623</v>
      </c>
      <c r="C52" t="s">
        <v>632</v>
      </c>
      <c r="E52" s="2"/>
      <c r="G52" t="s">
        <v>925</v>
      </c>
      <c r="I52" t="s">
        <v>1134</v>
      </c>
      <c r="K52" t="s">
        <v>1133</v>
      </c>
    </row>
    <row r="53" spans="1:11" x14ac:dyDescent="0.25">
      <c r="A53" t="s">
        <v>624</v>
      </c>
      <c r="C53" t="s">
        <v>633</v>
      </c>
      <c r="E53" t="s">
        <v>758</v>
      </c>
      <c r="G53" t="s">
        <v>926</v>
      </c>
      <c r="I53" t="s">
        <v>1135</v>
      </c>
      <c r="K53" s="2">
        <v>44106</v>
      </c>
    </row>
    <row r="54" spans="1:11" x14ac:dyDescent="0.25">
      <c r="A54" t="s">
        <v>625</v>
      </c>
      <c r="C54" t="s">
        <v>634</v>
      </c>
      <c r="E54" t="s">
        <v>759</v>
      </c>
      <c r="G54" t="s">
        <v>927</v>
      </c>
      <c r="I54" s="2">
        <v>44167</v>
      </c>
      <c r="K54" t="s">
        <v>1134</v>
      </c>
    </row>
    <row r="55" spans="1:11" x14ac:dyDescent="0.25">
      <c r="A55" t="s">
        <v>626</v>
      </c>
      <c r="C55" t="s">
        <v>635</v>
      </c>
      <c r="E55" t="s">
        <v>760</v>
      </c>
      <c r="G55" t="s">
        <v>928</v>
      </c>
      <c r="I55" t="s">
        <v>903</v>
      </c>
      <c r="K55" t="s">
        <v>1135</v>
      </c>
    </row>
    <row r="56" spans="1:11" x14ac:dyDescent="0.25">
      <c r="A56" t="s">
        <v>627</v>
      </c>
      <c r="C56" t="s">
        <v>636</v>
      </c>
      <c r="E56" t="s">
        <v>761</v>
      </c>
      <c r="G56" t="s">
        <v>929</v>
      </c>
      <c r="I56" t="s">
        <v>904</v>
      </c>
      <c r="K56" s="2">
        <v>44167</v>
      </c>
    </row>
    <row r="57" spans="1:11" x14ac:dyDescent="0.25">
      <c r="A57" t="s">
        <v>628</v>
      </c>
      <c r="C57" t="s">
        <v>637</v>
      </c>
      <c r="E57" t="s">
        <v>762</v>
      </c>
      <c r="G57" t="s">
        <v>930</v>
      </c>
      <c r="I57" t="s">
        <v>1136</v>
      </c>
      <c r="K57" t="s">
        <v>1249</v>
      </c>
    </row>
    <row r="58" spans="1:11" x14ac:dyDescent="0.25">
      <c r="A58" t="s">
        <v>629</v>
      </c>
      <c r="C58" t="s">
        <v>638</v>
      </c>
      <c r="E58" t="s">
        <v>763</v>
      </c>
      <c r="G58" t="s">
        <v>931</v>
      </c>
      <c r="I58" t="s">
        <v>1137</v>
      </c>
      <c r="K58" t="s">
        <v>1250</v>
      </c>
    </row>
    <row r="59" spans="1:11" x14ac:dyDescent="0.25">
      <c r="A59" t="s">
        <v>630</v>
      </c>
      <c r="C59" t="s">
        <v>686</v>
      </c>
      <c r="E59" t="s">
        <v>764</v>
      </c>
      <c r="G59" t="s">
        <v>932</v>
      </c>
      <c r="I59" t="s">
        <v>1138</v>
      </c>
      <c r="K59" t="s">
        <v>1136</v>
      </c>
    </row>
    <row r="60" spans="1:11" x14ac:dyDescent="0.25">
      <c r="A60" t="s">
        <v>631</v>
      </c>
      <c r="C60" t="s">
        <v>687</v>
      </c>
      <c r="E60" t="s">
        <v>765</v>
      </c>
      <c r="G60" t="s">
        <v>933</v>
      </c>
      <c r="I60" t="s">
        <v>1139</v>
      </c>
      <c r="K60" t="s">
        <v>1137</v>
      </c>
    </row>
    <row r="61" spans="1:11" x14ac:dyDescent="0.25">
      <c r="A61" t="s">
        <v>632</v>
      </c>
      <c r="C61" t="s">
        <v>641</v>
      </c>
      <c r="E61" t="s">
        <v>766</v>
      </c>
      <c r="G61" t="s">
        <v>934</v>
      </c>
      <c r="I61" s="3">
        <v>42036</v>
      </c>
      <c r="K61" t="s">
        <v>1138</v>
      </c>
    </row>
    <row r="62" spans="1:11" x14ac:dyDescent="0.25">
      <c r="A62" t="s">
        <v>633</v>
      </c>
      <c r="C62" t="s">
        <v>642</v>
      </c>
      <c r="E62" t="s">
        <v>767</v>
      </c>
      <c r="G62" t="s">
        <v>935</v>
      </c>
      <c r="I62" t="s">
        <v>1140</v>
      </c>
      <c r="K62" t="s">
        <v>1139</v>
      </c>
    </row>
    <row r="63" spans="1:11" x14ac:dyDescent="0.25">
      <c r="A63" t="s">
        <v>634</v>
      </c>
      <c r="C63" t="s">
        <v>643</v>
      </c>
      <c r="E63" t="s">
        <v>768</v>
      </c>
      <c r="G63" t="s">
        <v>936</v>
      </c>
      <c r="I63" t="s">
        <v>1141</v>
      </c>
      <c r="K63" s="3">
        <v>41671</v>
      </c>
    </row>
    <row r="64" spans="1:11" x14ac:dyDescent="0.25">
      <c r="A64" t="s">
        <v>635</v>
      </c>
      <c r="C64" t="s">
        <v>644</v>
      </c>
      <c r="E64" t="s">
        <v>769</v>
      </c>
      <c r="G64" t="s">
        <v>937</v>
      </c>
      <c r="I64" t="s">
        <v>1142</v>
      </c>
      <c r="K64" t="s">
        <v>1251</v>
      </c>
    </row>
    <row r="65" spans="1:11" x14ac:dyDescent="0.25">
      <c r="A65" t="s">
        <v>636</v>
      </c>
      <c r="C65" t="s">
        <v>645</v>
      </c>
      <c r="E65" t="s">
        <v>770</v>
      </c>
      <c r="G65" t="s">
        <v>938</v>
      </c>
      <c r="I65" t="s">
        <v>1143</v>
      </c>
      <c r="K65" t="s">
        <v>1252</v>
      </c>
    </row>
    <row r="66" spans="1:11" x14ac:dyDescent="0.25">
      <c r="A66" t="s">
        <v>637</v>
      </c>
      <c r="C66" t="s">
        <v>646</v>
      </c>
      <c r="E66" t="s">
        <v>771</v>
      </c>
      <c r="G66" t="s">
        <v>939</v>
      </c>
      <c r="I66" t="s">
        <v>1144</v>
      </c>
      <c r="K66" t="s">
        <v>1253</v>
      </c>
    </row>
    <row r="67" spans="1:11" x14ac:dyDescent="0.25">
      <c r="A67" t="s">
        <v>638</v>
      </c>
      <c r="C67" t="s">
        <v>647</v>
      </c>
      <c r="E67" s="2">
        <v>43834</v>
      </c>
      <c r="G67" t="s">
        <v>940</v>
      </c>
      <c r="I67" t="s">
        <v>1145</v>
      </c>
      <c r="K67" t="s">
        <v>1254</v>
      </c>
    </row>
    <row r="68" spans="1:11" x14ac:dyDescent="0.25">
      <c r="A68" t="s">
        <v>639</v>
      </c>
      <c r="C68" t="s">
        <v>648</v>
      </c>
      <c r="E68" t="s">
        <v>772</v>
      </c>
      <c r="G68" t="s">
        <v>941</v>
      </c>
      <c r="I68" t="s">
        <v>1146</v>
      </c>
      <c r="K68" t="s">
        <v>1255</v>
      </c>
    </row>
    <row r="69" spans="1:11" x14ac:dyDescent="0.25">
      <c r="A69" t="s">
        <v>640</v>
      </c>
      <c r="C69" t="s">
        <v>649</v>
      </c>
      <c r="E69" t="s">
        <v>773</v>
      </c>
      <c r="G69" t="s">
        <v>942</v>
      </c>
      <c r="I69" t="s">
        <v>1147</v>
      </c>
      <c r="K69" t="s">
        <v>1256</v>
      </c>
    </row>
    <row r="70" spans="1:11" x14ac:dyDescent="0.25">
      <c r="A70" t="s">
        <v>641</v>
      </c>
      <c r="C70" t="s">
        <v>650</v>
      </c>
      <c r="E70" t="s">
        <v>774</v>
      </c>
      <c r="G70" t="s">
        <v>943</v>
      </c>
      <c r="I70" t="s">
        <v>1148</v>
      </c>
      <c r="K70" t="s">
        <v>1257</v>
      </c>
    </row>
    <row r="71" spans="1:11" x14ac:dyDescent="0.25">
      <c r="A71" t="s">
        <v>642</v>
      </c>
      <c r="C71" t="s">
        <v>651</v>
      </c>
      <c r="E71" t="s">
        <v>775</v>
      </c>
      <c r="G71" t="s">
        <v>944</v>
      </c>
      <c r="I71" t="s">
        <v>1149</v>
      </c>
      <c r="K71" t="s">
        <v>1258</v>
      </c>
    </row>
    <row r="72" spans="1:11" x14ac:dyDescent="0.25">
      <c r="A72" t="s">
        <v>643</v>
      </c>
      <c r="C72" t="s">
        <v>652</v>
      </c>
      <c r="E72" t="s">
        <v>776</v>
      </c>
      <c r="G72" t="s">
        <v>945</v>
      </c>
      <c r="I72" t="s">
        <v>1150</v>
      </c>
      <c r="K72" t="s">
        <v>1259</v>
      </c>
    </row>
    <row r="73" spans="1:11" x14ac:dyDescent="0.25">
      <c r="A73" t="s">
        <v>644</v>
      </c>
      <c r="C73" t="s">
        <v>653</v>
      </c>
      <c r="E73" t="s">
        <v>777</v>
      </c>
      <c r="G73" t="s">
        <v>946</v>
      </c>
      <c r="I73" t="s">
        <v>1151</v>
      </c>
      <c r="K73" t="s">
        <v>1260</v>
      </c>
    </row>
    <row r="74" spans="1:11" x14ac:dyDescent="0.25">
      <c r="A74" t="s">
        <v>645</v>
      </c>
      <c r="C74" t="s">
        <v>654</v>
      </c>
      <c r="E74" t="s">
        <v>778</v>
      </c>
      <c r="G74" t="s">
        <v>947</v>
      </c>
      <c r="I74" t="s">
        <v>1152</v>
      </c>
      <c r="K74" t="s">
        <v>1261</v>
      </c>
    </row>
    <row r="75" spans="1:11" x14ac:dyDescent="0.25">
      <c r="A75" t="s">
        <v>646</v>
      </c>
      <c r="C75" t="s">
        <v>655</v>
      </c>
      <c r="E75" t="s">
        <v>779</v>
      </c>
      <c r="G75" t="s">
        <v>948</v>
      </c>
      <c r="I75" t="s">
        <v>1153</v>
      </c>
      <c r="K75" t="s">
        <v>1262</v>
      </c>
    </row>
    <row r="76" spans="1:11" x14ac:dyDescent="0.25">
      <c r="A76" t="s">
        <v>647</v>
      </c>
      <c r="C76" t="s">
        <v>656</v>
      </c>
      <c r="E76" t="s">
        <v>780</v>
      </c>
      <c r="G76" t="s">
        <v>949</v>
      </c>
      <c r="I76" t="s">
        <v>1154</v>
      </c>
      <c r="K76" t="s">
        <v>1263</v>
      </c>
    </row>
    <row r="77" spans="1:11" x14ac:dyDescent="0.25">
      <c r="A77" t="s">
        <v>648</v>
      </c>
      <c r="C77" t="s">
        <v>657</v>
      </c>
      <c r="E77" t="s">
        <v>781</v>
      </c>
      <c r="G77" t="s">
        <v>950</v>
      </c>
      <c r="I77" t="s">
        <v>1155</v>
      </c>
      <c r="K77" t="s">
        <v>1264</v>
      </c>
    </row>
    <row r="78" spans="1:11" x14ac:dyDescent="0.25">
      <c r="A78" t="s">
        <v>649</v>
      </c>
      <c r="C78" t="s">
        <v>658</v>
      </c>
      <c r="E78" t="s">
        <v>782</v>
      </c>
      <c r="G78" t="s">
        <v>951</v>
      </c>
      <c r="I78" t="s">
        <v>1156</v>
      </c>
      <c r="K78" t="s">
        <v>1265</v>
      </c>
    </row>
    <row r="79" spans="1:11" x14ac:dyDescent="0.25">
      <c r="A79" t="s">
        <v>650</v>
      </c>
      <c r="C79" t="s">
        <v>659</v>
      </c>
      <c r="E79" t="s">
        <v>783</v>
      </c>
      <c r="G79" t="s">
        <v>952</v>
      </c>
      <c r="I79" t="s">
        <v>1157</v>
      </c>
      <c r="K79" t="s">
        <v>1266</v>
      </c>
    </row>
    <row r="80" spans="1:11" x14ac:dyDescent="0.25">
      <c r="A80" t="s">
        <v>651</v>
      </c>
      <c r="C80" t="s">
        <v>660</v>
      </c>
      <c r="E80" t="s">
        <v>784</v>
      </c>
      <c r="G80" t="s">
        <v>953</v>
      </c>
      <c r="I80" t="s">
        <v>934</v>
      </c>
      <c r="K80" t="s">
        <v>1267</v>
      </c>
    </row>
    <row r="81" spans="1:11" x14ac:dyDescent="0.25">
      <c r="A81" t="s">
        <v>652</v>
      </c>
      <c r="C81" t="s">
        <v>661</v>
      </c>
      <c r="E81" t="s">
        <v>785</v>
      </c>
      <c r="G81" t="s">
        <v>954</v>
      </c>
      <c r="I81" t="s">
        <v>1158</v>
      </c>
      <c r="K81" t="s">
        <v>1268</v>
      </c>
    </row>
    <row r="82" spans="1:11" x14ac:dyDescent="0.25">
      <c r="A82" t="s">
        <v>653</v>
      </c>
      <c r="C82" t="s">
        <v>662</v>
      </c>
      <c r="E82" t="s">
        <v>786</v>
      </c>
      <c r="G82" t="s">
        <v>955</v>
      </c>
      <c r="I82" t="s">
        <v>1159</v>
      </c>
      <c r="K82" t="s">
        <v>1269</v>
      </c>
    </row>
    <row r="83" spans="1:11" x14ac:dyDescent="0.25">
      <c r="A83" t="s">
        <v>654</v>
      </c>
      <c r="C83" t="s">
        <v>663</v>
      </c>
      <c r="E83" t="s">
        <v>787</v>
      </c>
      <c r="G83" t="s">
        <v>956</v>
      </c>
      <c r="I83" t="s">
        <v>1160</v>
      </c>
      <c r="K83" t="s">
        <v>1270</v>
      </c>
    </row>
    <row r="84" spans="1:11" x14ac:dyDescent="0.25">
      <c r="A84" t="s">
        <v>655</v>
      </c>
      <c r="C84" t="s">
        <v>664</v>
      </c>
      <c r="E84" t="s">
        <v>788</v>
      </c>
      <c r="G84" t="s">
        <v>957</v>
      </c>
      <c r="I84" t="s">
        <v>1161</v>
      </c>
      <c r="K84" t="s">
        <v>1158</v>
      </c>
    </row>
    <row r="85" spans="1:11" x14ac:dyDescent="0.25">
      <c r="A85" t="s">
        <v>656</v>
      </c>
      <c r="C85" t="s">
        <v>688</v>
      </c>
      <c r="E85" t="s">
        <v>789</v>
      </c>
      <c r="G85" t="s">
        <v>958</v>
      </c>
      <c r="I85" t="s">
        <v>1162</v>
      </c>
      <c r="K85" t="s">
        <v>1159</v>
      </c>
    </row>
    <row r="86" spans="1:11" x14ac:dyDescent="0.25">
      <c r="A86" t="s">
        <v>657</v>
      </c>
      <c r="C86" t="s">
        <v>689</v>
      </c>
      <c r="E86" t="s">
        <v>790</v>
      </c>
      <c r="G86" t="s">
        <v>959</v>
      </c>
      <c r="I86" t="s">
        <v>1163</v>
      </c>
      <c r="K86" t="s">
        <v>1271</v>
      </c>
    </row>
    <row r="87" spans="1:11" x14ac:dyDescent="0.25">
      <c r="A87" t="s">
        <v>658</v>
      </c>
      <c r="C87" t="s">
        <v>690</v>
      </c>
      <c r="E87" t="s">
        <v>791</v>
      </c>
      <c r="G87" t="s">
        <v>960</v>
      </c>
      <c r="I87" t="s">
        <v>1164</v>
      </c>
      <c r="K87" t="s">
        <v>1272</v>
      </c>
    </row>
    <row r="88" spans="1:11" x14ac:dyDescent="0.25">
      <c r="A88" t="s">
        <v>659</v>
      </c>
      <c r="C88" t="s">
        <v>691</v>
      </c>
      <c r="E88" t="s">
        <v>792</v>
      </c>
      <c r="G88" t="s">
        <v>961</v>
      </c>
      <c r="I88" t="s">
        <v>1165</v>
      </c>
      <c r="K88" t="s">
        <v>1273</v>
      </c>
    </row>
    <row r="89" spans="1:11" x14ac:dyDescent="0.25">
      <c r="A89" t="s">
        <v>660</v>
      </c>
      <c r="C89" t="s">
        <v>692</v>
      </c>
      <c r="E89" t="s">
        <v>793</v>
      </c>
      <c r="G89" t="s">
        <v>962</v>
      </c>
      <c r="I89" t="s">
        <v>1166</v>
      </c>
      <c r="K89" t="s">
        <v>1274</v>
      </c>
    </row>
    <row r="90" spans="1:11" x14ac:dyDescent="0.25">
      <c r="A90" t="s">
        <v>661</v>
      </c>
      <c r="C90" t="s">
        <v>693</v>
      </c>
      <c r="E90" t="s">
        <v>794</v>
      </c>
      <c r="G90" t="s">
        <v>963</v>
      </c>
      <c r="I90" t="s">
        <v>1167</v>
      </c>
      <c r="K90" t="s">
        <v>1275</v>
      </c>
    </row>
    <row r="91" spans="1:11" x14ac:dyDescent="0.25">
      <c r="A91" t="s">
        <v>662</v>
      </c>
      <c r="C91" t="s">
        <v>694</v>
      </c>
      <c r="E91" t="s">
        <v>795</v>
      </c>
      <c r="G91" t="s">
        <v>964</v>
      </c>
      <c r="I91" t="s">
        <v>1168</v>
      </c>
      <c r="K91" t="s">
        <v>1276</v>
      </c>
    </row>
    <row r="92" spans="1:11" x14ac:dyDescent="0.25">
      <c r="A92" t="s">
        <v>663</v>
      </c>
      <c r="C92" t="s">
        <v>695</v>
      </c>
      <c r="E92" t="s">
        <v>796</v>
      </c>
      <c r="G92" t="s">
        <v>965</v>
      </c>
      <c r="I92" t="s">
        <v>1169</v>
      </c>
      <c r="K92" t="s">
        <v>1277</v>
      </c>
    </row>
    <row r="93" spans="1:11" x14ac:dyDescent="0.25">
      <c r="A93" t="s">
        <v>664</v>
      </c>
      <c r="C93" t="s">
        <v>696</v>
      </c>
      <c r="E93" t="s">
        <v>797</v>
      </c>
      <c r="G93" t="s">
        <v>966</v>
      </c>
      <c r="I93" t="s">
        <v>1170</v>
      </c>
      <c r="K93" t="s">
        <v>1278</v>
      </c>
    </row>
    <row r="94" spans="1:11" x14ac:dyDescent="0.25">
      <c r="A94" t="s">
        <v>665</v>
      </c>
      <c r="C94" t="s">
        <v>697</v>
      </c>
      <c r="E94" t="s">
        <v>798</v>
      </c>
      <c r="G94" t="s">
        <v>967</v>
      </c>
      <c r="I94" t="s">
        <v>1171</v>
      </c>
      <c r="K94" t="s">
        <v>1279</v>
      </c>
    </row>
    <row r="95" spans="1:11" x14ac:dyDescent="0.25">
      <c r="A95" t="s">
        <v>666</v>
      </c>
      <c r="C95" t="s">
        <v>698</v>
      </c>
      <c r="E95" t="s">
        <v>799</v>
      </c>
      <c r="G95" t="s">
        <v>968</v>
      </c>
      <c r="I95" t="s">
        <v>1172</v>
      </c>
      <c r="K95" t="s">
        <v>1280</v>
      </c>
    </row>
    <row r="96" spans="1:11" x14ac:dyDescent="0.25">
      <c r="A96" t="s">
        <v>667</v>
      </c>
      <c r="C96" t="s">
        <v>661</v>
      </c>
      <c r="E96" t="s">
        <v>800</v>
      </c>
      <c r="G96" t="s">
        <v>969</v>
      </c>
      <c r="I96" t="s">
        <v>1173</v>
      </c>
      <c r="K96" t="s">
        <v>1281</v>
      </c>
    </row>
    <row r="97" spans="3:11" x14ac:dyDescent="0.25">
      <c r="C97" t="s">
        <v>662</v>
      </c>
      <c r="E97" t="s">
        <v>801</v>
      </c>
      <c r="G97" t="s">
        <v>970</v>
      </c>
      <c r="I97" t="s">
        <v>1174</v>
      </c>
      <c r="K97" t="s">
        <v>1282</v>
      </c>
    </row>
    <row r="98" spans="3:11" x14ac:dyDescent="0.25">
      <c r="C98" t="s">
        <v>663</v>
      </c>
      <c r="E98" t="s">
        <v>802</v>
      </c>
      <c r="G98" t="s">
        <v>971</v>
      </c>
      <c r="I98" t="s">
        <v>1175</v>
      </c>
      <c r="K98" t="s">
        <v>1283</v>
      </c>
    </row>
    <row r="99" spans="3:11" x14ac:dyDescent="0.25">
      <c r="C99" t="s">
        <v>664</v>
      </c>
      <c r="E99" t="s">
        <v>803</v>
      </c>
      <c r="G99" t="s">
        <v>972</v>
      </c>
      <c r="I99" t="s">
        <v>1176</v>
      </c>
      <c r="K99" t="s">
        <v>1284</v>
      </c>
    </row>
    <row r="100" spans="3:11" x14ac:dyDescent="0.25">
      <c r="C100" t="s">
        <v>702</v>
      </c>
      <c r="E100" t="s">
        <v>804</v>
      </c>
      <c r="G100" s="2">
        <v>43866</v>
      </c>
      <c r="I100" t="s">
        <v>959</v>
      </c>
      <c r="K100" t="s">
        <v>1285</v>
      </c>
    </row>
    <row r="101" spans="3:11" x14ac:dyDescent="0.25">
      <c r="C101" t="s">
        <v>689</v>
      </c>
      <c r="E101" t="s">
        <v>805</v>
      </c>
      <c r="G101" t="s">
        <v>973</v>
      </c>
      <c r="I101" t="s">
        <v>960</v>
      </c>
      <c r="K101" t="s">
        <v>959</v>
      </c>
    </row>
    <row r="102" spans="3:11" x14ac:dyDescent="0.25">
      <c r="C102" t="s">
        <v>690</v>
      </c>
      <c r="E102" t="s">
        <v>806</v>
      </c>
      <c r="G102" t="s">
        <v>974</v>
      </c>
      <c r="I102" t="s">
        <v>961</v>
      </c>
      <c r="K102" t="s">
        <v>960</v>
      </c>
    </row>
    <row r="103" spans="3:11" x14ac:dyDescent="0.25">
      <c r="C103" t="s">
        <v>691</v>
      </c>
      <c r="E103" t="s">
        <v>807</v>
      </c>
      <c r="G103" t="s">
        <v>975</v>
      </c>
      <c r="I103" t="s">
        <v>1177</v>
      </c>
      <c r="K103" t="s">
        <v>1286</v>
      </c>
    </row>
    <row r="104" spans="3:11" x14ac:dyDescent="0.25">
      <c r="C104" t="s">
        <v>692</v>
      </c>
      <c r="E104" t="s">
        <v>808</v>
      </c>
      <c r="G104" t="s">
        <v>976</v>
      </c>
      <c r="I104" t="s">
        <v>962</v>
      </c>
      <c r="K104" t="s">
        <v>1287</v>
      </c>
    </row>
    <row r="105" spans="3:11" x14ac:dyDescent="0.25">
      <c r="C105" t="s">
        <v>693</v>
      </c>
      <c r="E105" t="s">
        <v>809</v>
      </c>
      <c r="G105" t="s">
        <v>977</v>
      </c>
      <c r="I105" t="s">
        <v>963</v>
      </c>
      <c r="K105" s="2">
        <v>43865</v>
      </c>
    </row>
    <row r="106" spans="3:11" x14ac:dyDescent="0.25">
      <c r="C106" t="s">
        <v>694</v>
      </c>
      <c r="E106" t="s">
        <v>810</v>
      </c>
      <c r="G106" t="s">
        <v>978</v>
      </c>
      <c r="I106" t="s">
        <v>1178</v>
      </c>
      <c r="K106" t="s">
        <v>1177</v>
      </c>
    </row>
    <row r="107" spans="3:11" x14ac:dyDescent="0.25">
      <c r="C107" t="s">
        <v>695</v>
      </c>
      <c r="E107" t="s">
        <v>811</v>
      </c>
      <c r="G107" t="s">
        <v>979</v>
      </c>
      <c r="I107" t="s">
        <v>1179</v>
      </c>
      <c r="K107" t="s">
        <v>962</v>
      </c>
    </row>
    <row r="108" spans="3:11" x14ac:dyDescent="0.25">
      <c r="C108" t="s">
        <v>696</v>
      </c>
      <c r="E108" t="s">
        <v>812</v>
      </c>
      <c r="G108" t="s">
        <v>980</v>
      </c>
      <c r="I108" t="s">
        <v>1180</v>
      </c>
      <c r="K108" t="s">
        <v>963</v>
      </c>
    </row>
    <row r="109" spans="3:11" x14ac:dyDescent="0.25">
      <c r="C109" t="s">
        <v>699</v>
      </c>
      <c r="E109" t="s">
        <v>813</v>
      </c>
      <c r="G109" t="s">
        <v>981</v>
      </c>
      <c r="I109" t="s">
        <v>1181</v>
      </c>
      <c r="K109" t="s">
        <v>1178</v>
      </c>
    </row>
    <row r="110" spans="3:11" x14ac:dyDescent="0.25">
      <c r="C110" t="s">
        <v>700</v>
      </c>
      <c r="E110" t="s">
        <v>814</v>
      </c>
      <c r="G110" t="s">
        <v>982</v>
      </c>
      <c r="I110" t="s">
        <v>1182</v>
      </c>
      <c r="K110" t="s">
        <v>1179</v>
      </c>
    </row>
    <row r="111" spans="3:11" x14ac:dyDescent="0.25">
      <c r="C111" t="s">
        <v>701</v>
      </c>
      <c r="E111" t="s">
        <v>815</v>
      </c>
      <c r="G111" t="s">
        <v>983</v>
      </c>
      <c r="I111" t="s">
        <v>1183</v>
      </c>
      <c r="K111" t="s">
        <v>1180</v>
      </c>
    </row>
    <row r="112" spans="3:11" x14ac:dyDescent="0.25">
      <c r="C112" t="s">
        <v>703</v>
      </c>
      <c r="E112" t="s">
        <v>816</v>
      </c>
      <c r="G112" t="s">
        <v>984</v>
      </c>
      <c r="I112" t="s">
        <v>1184</v>
      </c>
      <c r="K112" t="s">
        <v>1181</v>
      </c>
    </row>
    <row r="113" spans="3:11" x14ac:dyDescent="0.25">
      <c r="C113" t="s">
        <v>704</v>
      </c>
      <c r="E113" t="s">
        <v>817</v>
      </c>
      <c r="G113" t="s">
        <v>985</v>
      </c>
      <c r="I113" t="s">
        <v>1185</v>
      </c>
      <c r="K113" t="s">
        <v>1182</v>
      </c>
    </row>
    <row r="114" spans="3:11" x14ac:dyDescent="0.25">
      <c r="C114" t="s">
        <v>705</v>
      </c>
      <c r="E114" t="s">
        <v>818</v>
      </c>
      <c r="G114" t="s">
        <v>986</v>
      </c>
      <c r="I114" t="s">
        <v>1219</v>
      </c>
      <c r="K114" t="s">
        <v>1288</v>
      </c>
    </row>
    <row r="115" spans="3:11" x14ac:dyDescent="0.25">
      <c r="C115" t="s">
        <v>706</v>
      </c>
      <c r="E115" t="s">
        <v>819</v>
      </c>
      <c r="G115" t="s">
        <v>987</v>
      </c>
      <c r="I115" t="s">
        <v>1186</v>
      </c>
      <c r="K115" t="s">
        <v>1289</v>
      </c>
    </row>
    <row r="116" spans="3:11" x14ac:dyDescent="0.25">
      <c r="C116" t="s">
        <v>707</v>
      </c>
      <c r="E116" t="s">
        <v>820</v>
      </c>
      <c r="G116" t="s">
        <v>988</v>
      </c>
      <c r="I116" t="s">
        <v>1187</v>
      </c>
      <c r="K116" t="s">
        <v>1290</v>
      </c>
    </row>
    <row r="117" spans="3:11" x14ac:dyDescent="0.25">
      <c r="C117" t="s">
        <v>708</v>
      </c>
      <c r="E117" t="s">
        <v>821</v>
      </c>
      <c r="G117" t="s">
        <v>989</v>
      </c>
      <c r="I117" s="2">
        <v>43866</v>
      </c>
      <c r="K117" t="s">
        <v>1291</v>
      </c>
    </row>
    <row r="118" spans="3:11" x14ac:dyDescent="0.25">
      <c r="C118" t="s">
        <v>709</v>
      </c>
      <c r="E118" t="s">
        <v>822</v>
      </c>
      <c r="G118" t="s">
        <v>990</v>
      </c>
      <c r="I118" t="s">
        <v>1188</v>
      </c>
      <c r="K118" t="s">
        <v>1292</v>
      </c>
    </row>
    <row r="119" spans="3:11" x14ac:dyDescent="0.25">
      <c r="C119" t="s">
        <v>710</v>
      </c>
      <c r="E119" t="s">
        <v>823</v>
      </c>
      <c r="G119" t="s">
        <v>991</v>
      </c>
      <c r="I119" t="s">
        <v>1189</v>
      </c>
      <c r="K119" t="s">
        <v>1293</v>
      </c>
    </row>
    <row r="120" spans="3:11" x14ac:dyDescent="0.25">
      <c r="C120" t="s">
        <v>711</v>
      </c>
      <c r="E120" t="s">
        <v>824</v>
      </c>
      <c r="G120" t="s">
        <v>992</v>
      </c>
      <c r="I120" t="s">
        <v>1190</v>
      </c>
      <c r="K120" t="s">
        <v>1294</v>
      </c>
    </row>
    <row r="121" spans="3:11" x14ac:dyDescent="0.25">
      <c r="C121" t="s">
        <v>665</v>
      </c>
      <c r="E121" t="s">
        <v>825</v>
      </c>
      <c r="G121" t="s">
        <v>993</v>
      </c>
      <c r="I121" t="s">
        <v>1191</v>
      </c>
      <c r="K121" t="s">
        <v>1295</v>
      </c>
    </row>
    <row r="122" spans="3:11" x14ac:dyDescent="0.25">
      <c r="C122" t="s">
        <v>666</v>
      </c>
      <c r="E122" t="s">
        <v>826</v>
      </c>
      <c r="G122" t="s">
        <v>994</v>
      </c>
      <c r="I122" t="s">
        <v>1192</v>
      </c>
      <c r="K122" t="s">
        <v>1296</v>
      </c>
    </row>
    <row r="123" spans="3:11" x14ac:dyDescent="0.25">
      <c r="C123" t="s">
        <v>667</v>
      </c>
      <c r="E123" t="s">
        <v>827</v>
      </c>
      <c r="G123" t="s">
        <v>995</v>
      </c>
      <c r="I123" t="s">
        <v>1193</v>
      </c>
      <c r="K123" t="s">
        <v>1297</v>
      </c>
    </row>
    <row r="124" spans="3:11" x14ac:dyDescent="0.25">
      <c r="E124" t="s">
        <v>828</v>
      </c>
      <c r="G124" t="s">
        <v>996</v>
      </c>
      <c r="I124" t="s">
        <v>1194</v>
      </c>
      <c r="K124" t="s">
        <v>1298</v>
      </c>
    </row>
    <row r="125" spans="3:11" x14ac:dyDescent="0.25">
      <c r="E125" t="s">
        <v>829</v>
      </c>
      <c r="G125" t="s">
        <v>997</v>
      </c>
      <c r="I125" t="s">
        <v>1195</v>
      </c>
      <c r="K125" t="s">
        <v>1299</v>
      </c>
    </row>
    <row r="126" spans="3:11" x14ac:dyDescent="0.25">
      <c r="E126" t="s">
        <v>830</v>
      </c>
      <c r="G126" t="s">
        <v>998</v>
      </c>
      <c r="I126" t="s">
        <v>1196</v>
      </c>
      <c r="K126" t="s">
        <v>1300</v>
      </c>
    </row>
    <row r="127" spans="3:11" x14ac:dyDescent="0.25">
      <c r="E127" t="s">
        <v>831</v>
      </c>
      <c r="G127" t="s">
        <v>999</v>
      </c>
      <c r="I127" t="s">
        <v>1197</v>
      </c>
      <c r="K127" t="s">
        <v>1301</v>
      </c>
    </row>
    <row r="128" spans="3:11" x14ac:dyDescent="0.25">
      <c r="E128" t="s">
        <v>832</v>
      </c>
      <c r="G128" t="s">
        <v>1000</v>
      </c>
      <c r="I128" t="s">
        <v>1198</v>
      </c>
      <c r="K128" t="s">
        <v>1302</v>
      </c>
    </row>
    <row r="129" spans="5:11" x14ac:dyDescent="0.25">
      <c r="E129" t="s">
        <v>833</v>
      </c>
      <c r="G129" t="s">
        <v>1001</v>
      </c>
      <c r="I129" t="s">
        <v>1199</v>
      </c>
      <c r="K129" t="s">
        <v>1303</v>
      </c>
    </row>
    <row r="130" spans="5:11" x14ac:dyDescent="0.25">
      <c r="E130" t="s">
        <v>834</v>
      </c>
      <c r="G130" t="s">
        <v>1002</v>
      </c>
      <c r="I130" t="s">
        <v>1200</v>
      </c>
      <c r="K130" t="s">
        <v>1304</v>
      </c>
    </row>
    <row r="131" spans="5:11" x14ac:dyDescent="0.25">
      <c r="E131" t="s">
        <v>835</v>
      </c>
      <c r="G131" t="s">
        <v>1003</v>
      </c>
      <c r="I131" t="s">
        <v>1201</v>
      </c>
      <c r="K131" t="s">
        <v>1305</v>
      </c>
    </row>
    <row r="132" spans="5:11" x14ac:dyDescent="0.25">
      <c r="E132" t="s">
        <v>836</v>
      </c>
      <c r="G132" t="s">
        <v>1004</v>
      </c>
      <c r="I132" t="s">
        <v>1202</v>
      </c>
      <c r="K132" t="s">
        <v>1306</v>
      </c>
    </row>
    <row r="133" spans="5:11" x14ac:dyDescent="0.25">
      <c r="E133" t="s">
        <v>837</v>
      </c>
      <c r="G133" t="s">
        <v>1005</v>
      </c>
      <c r="I133" t="s">
        <v>1203</v>
      </c>
      <c r="K133" t="s">
        <v>1307</v>
      </c>
    </row>
    <row r="134" spans="5:11" x14ac:dyDescent="0.25">
      <c r="E134" t="s">
        <v>838</v>
      </c>
      <c r="G134" t="s">
        <v>1006</v>
      </c>
      <c r="I134" t="s">
        <v>1204</v>
      </c>
      <c r="K134" t="s">
        <v>1308</v>
      </c>
    </row>
    <row r="135" spans="5:11" x14ac:dyDescent="0.25">
      <c r="E135" t="s">
        <v>839</v>
      </c>
      <c r="G135" t="s">
        <v>1007</v>
      </c>
      <c r="I135" t="s">
        <v>1205</v>
      </c>
      <c r="K135" t="s">
        <v>1309</v>
      </c>
    </row>
    <row r="136" spans="5:11" x14ac:dyDescent="0.25">
      <c r="E136" t="s">
        <v>840</v>
      </c>
      <c r="G136" t="s">
        <v>1008</v>
      </c>
      <c r="I136" t="s">
        <v>1206</v>
      </c>
      <c r="K136" t="s">
        <v>1310</v>
      </c>
    </row>
    <row r="137" spans="5:11" x14ac:dyDescent="0.25">
      <c r="E137" t="s">
        <v>841</v>
      </c>
      <c r="G137" t="s">
        <v>1009</v>
      </c>
      <c r="I137" t="s">
        <v>1207</v>
      </c>
      <c r="K137" t="s">
        <v>1311</v>
      </c>
    </row>
    <row r="138" spans="5:11" x14ac:dyDescent="0.25">
      <c r="E138" t="s">
        <v>842</v>
      </c>
      <c r="G138" t="s">
        <v>1010</v>
      </c>
      <c r="I138" t="s">
        <v>1208</v>
      </c>
      <c r="K138" t="s">
        <v>1312</v>
      </c>
    </row>
    <row r="139" spans="5:11" x14ac:dyDescent="0.25">
      <c r="E139" t="s">
        <v>843</v>
      </c>
      <c r="G139" t="s">
        <v>1011</v>
      </c>
      <c r="I139" t="s">
        <v>1209</v>
      </c>
      <c r="K139" t="s">
        <v>1313</v>
      </c>
    </row>
    <row r="140" spans="5:11" x14ac:dyDescent="0.25">
      <c r="E140" t="s">
        <v>844</v>
      </c>
      <c r="G140" t="s">
        <v>1012</v>
      </c>
      <c r="I140" t="s">
        <v>1210</v>
      </c>
      <c r="K140" t="s">
        <v>1314</v>
      </c>
    </row>
    <row r="141" spans="5:11" x14ac:dyDescent="0.25">
      <c r="E141" t="s">
        <v>845</v>
      </c>
      <c r="G141" t="s">
        <v>1013</v>
      </c>
      <c r="I141" t="s">
        <v>1067</v>
      </c>
      <c r="K141" t="s">
        <v>1315</v>
      </c>
    </row>
    <row r="142" spans="5:11" x14ac:dyDescent="0.25">
      <c r="E142" t="s">
        <v>846</v>
      </c>
      <c r="G142" t="s">
        <v>1014</v>
      </c>
      <c r="I142" t="s">
        <v>1211</v>
      </c>
      <c r="K142" t="s">
        <v>1316</v>
      </c>
    </row>
    <row r="143" spans="5:11" x14ac:dyDescent="0.25">
      <c r="E143" t="s">
        <v>847</v>
      </c>
      <c r="G143" t="s">
        <v>1015</v>
      </c>
      <c r="I143" t="s">
        <v>1212</v>
      </c>
      <c r="K143" t="s">
        <v>1317</v>
      </c>
    </row>
    <row r="144" spans="5:11" x14ac:dyDescent="0.25">
      <c r="E144" t="s">
        <v>848</v>
      </c>
      <c r="G144" t="s">
        <v>1016</v>
      </c>
      <c r="I144" t="s">
        <v>1213</v>
      </c>
      <c r="K144" t="s">
        <v>1318</v>
      </c>
    </row>
    <row r="145" spans="5:11" x14ac:dyDescent="0.25">
      <c r="E145" t="s">
        <v>849</v>
      </c>
      <c r="G145" t="s">
        <v>1017</v>
      </c>
      <c r="I145" t="s">
        <v>1214</v>
      </c>
      <c r="K145" t="s">
        <v>1319</v>
      </c>
    </row>
    <row r="146" spans="5:11" x14ac:dyDescent="0.25">
      <c r="E146" t="s">
        <v>850</v>
      </c>
      <c r="G146" t="s">
        <v>1018</v>
      </c>
      <c r="I146" t="s">
        <v>1215</v>
      </c>
      <c r="K146" t="s">
        <v>1320</v>
      </c>
    </row>
    <row r="147" spans="5:11" x14ac:dyDescent="0.25">
      <c r="E147" t="s">
        <v>851</v>
      </c>
      <c r="G147" t="s">
        <v>1019</v>
      </c>
      <c r="I147" s="2">
        <v>43957</v>
      </c>
      <c r="K147" t="s">
        <v>1321</v>
      </c>
    </row>
    <row r="148" spans="5:11" x14ac:dyDescent="0.25">
      <c r="E148" t="s">
        <v>852</v>
      </c>
      <c r="G148" t="s">
        <v>1020</v>
      </c>
      <c r="I148" t="s">
        <v>1216</v>
      </c>
      <c r="K148" t="s">
        <v>1322</v>
      </c>
    </row>
    <row r="149" spans="5:11" x14ac:dyDescent="0.25">
      <c r="E149" s="3">
        <v>42522</v>
      </c>
      <c r="G149" t="s">
        <v>1021</v>
      </c>
      <c r="I149" t="s">
        <v>1217</v>
      </c>
      <c r="K149" t="s">
        <v>1323</v>
      </c>
    </row>
    <row r="150" spans="5:11" x14ac:dyDescent="0.25">
      <c r="E150" t="s">
        <v>853</v>
      </c>
      <c r="G150" t="s">
        <v>1022</v>
      </c>
      <c r="I150" t="s">
        <v>1218</v>
      </c>
      <c r="K150" t="s">
        <v>1324</v>
      </c>
    </row>
    <row r="151" spans="5:11" x14ac:dyDescent="0.25">
      <c r="E151" t="s">
        <v>854</v>
      </c>
      <c r="G151" t="s">
        <v>1023</v>
      </c>
      <c r="I151" t="s">
        <v>1220</v>
      </c>
      <c r="K151" t="s">
        <v>1325</v>
      </c>
    </row>
    <row r="152" spans="5:11" x14ac:dyDescent="0.25">
      <c r="E152" t="s">
        <v>855</v>
      </c>
      <c r="G152" t="s">
        <v>1024</v>
      </c>
      <c r="I152" t="s">
        <v>1221</v>
      </c>
      <c r="K152" t="s">
        <v>1326</v>
      </c>
    </row>
    <row r="153" spans="5:11" x14ac:dyDescent="0.25">
      <c r="E153" t="s">
        <v>856</v>
      </c>
      <c r="G153" t="s">
        <v>1025</v>
      </c>
      <c r="I153" t="s">
        <v>1222</v>
      </c>
      <c r="K153" t="s">
        <v>1327</v>
      </c>
    </row>
    <row r="154" spans="5:11" x14ac:dyDescent="0.25">
      <c r="E154" t="s">
        <v>857</v>
      </c>
      <c r="G154" t="s">
        <v>1026</v>
      </c>
      <c r="I154" t="s">
        <v>1223</v>
      </c>
      <c r="K154" t="s">
        <v>1328</v>
      </c>
    </row>
    <row r="155" spans="5:11" x14ac:dyDescent="0.25">
      <c r="E155" t="s">
        <v>858</v>
      </c>
      <c r="G155" t="s">
        <v>1027</v>
      </c>
      <c r="I155" t="s">
        <v>1224</v>
      </c>
      <c r="K155" t="s">
        <v>1329</v>
      </c>
    </row>
    <row r="156" spans="5:11" x14ac:dyDescent="0.25">
      <c r="E156" t="s">
        <v>859</v>
      </c>
      <c r="G156" t="s">
        <v>1028</v>
      </c>
      <c r="I156" t="s">
        <v>1225</v>
      </c>
      <c r="K156" t="s">
        <v>1330</v>
      </c>
    </row>
    <row r="157" spans="5:11" x14ac:dyDescent="0.25">
      <c r="E157" t="s">
        <v>860</v>
      </c>
      <c r="G157" t="s">
        <v>1029</v>
      </c>
      <c r="I157" t="s">
        <v>1226</v>
      </c>
      <c r="K157" t="s">
        <v>1331</v>
      </c>
    </row>
    <row r="158" spans="5:11" x14ac:dyDescent="0.25">
      <c r="E158" t="s">
        <v>861</v>
      </c>
      <c r="G158" t="s">
        <v>1030</v>
      </c>
      <c r="I158" t="s">
        <v>1227</v>
      </c>
      <c r="K158" t="s">
        <v>1332</v>
      </c>
    </row>
    <row r="159" spans="5:11" x14ac:dyDescent="0.25">
      <c r="E159" t="s">
        <v>862</v>
      </c>
      <c r="G159" t="s">
        <v>1031</v>
      </c>
      <c r="I159" t="s">
        <v>1228</v>
      </c>
      <c r="K159" t="s">
        <v>1333</v>
      </c>
    </row>
    <row r="160" spans="5:11" x14ac:dyDescent="0.25">
      <c r="E160" t="s">
        <v>863</v>
      </c>
      <c r="G160" t="s">
        <v>1032</v>
      </c>
      <c r="I160" t="s">
        <v>1229</v>
      </c>
      <c r="K160" t="s">
        <v>1334</v>
      </c>
    </row>
    <row r="161" spans="5:11" x14ac:dyDescent="0.25">
      <c r="E161" t="s">
        <v>864</v>
      </c>
      <c r="G161" t="s">
        <v>1033</v>
      </c>
      <c r="I161" t="s">
        <v>1230</v>
      </c>
      <c r="K161" t="s">
        <v>1335</v>
      </c>
    </row>
    <row r="162" spans="5:11" x14ac:dyDescent="0.25">
      <c r="E162" t="s">
        <v>865</v>
      </c>
      <c r="G162" t="s">
        <v>1034</v>
      </c>
      <c r="I162" t="s">
        <v>1231</v>
      </c>
      <c r="K162" t="s">
        <v>1336</v>
      </c>
    </row>
    <row r="163" spans="5:11" x14ac:dyDescent="0.25">
      <c r="E163" t="s">
        <v>866</v>
      </c>
      <c r="G163" t="s">
        <v>1035</v>
      </c>
      <c r="I163" t="s">
        <v>1232</v>
      </c>
      <c r="K163" t="s">
        <v>1337</v>
      </c>
    </row>
    <row r="164" spans="5:11" x14ac:dyDescent="0.25">
      <c r="E164" t="s">
        <v>867</v>
      </c>
      <c r="G164" t="s">
        <v>1036</v>
      </c>
      <c r="I164" t="s">
        <v>863</v>
      </c>
      <c r="K164" s="3">
        <v>19845</v>
      </c>
    </row>
    <row r="165" spans="5:11" x14ac:dyDescent="0.25">
      <c r="E165" t="s">
        <v>868</v>
      </c>
      <c r="G165" t="s">
        <v>1037</v>
      </c>
      <c r="I165" t="s">
        <v>1233</v>
      </c>
      <c r="K165" t="s">
        <v>1338</v>
      </c>
    </row>
    <row r="166" spans="5:11" x14ac:dyDescent="0.25">
      <c r="E166" t="s">
        <v>869</v>
      </c>
      <c r="G166" t="s">
        <v>1038</v>
      </c>
      <c r="I166" t="s">
        <v>1081</v>
      </c>
      <c r="K166" t="s">
        <v>1339</v>
      </c>
    </row>
    <row r="167" spans="5:11" x14ac:dyDescent="0.25">
      <c r="E167" t="s">
        <v>870</v>
      </c>
      <c r="G167" t="s">
        <v>1039</v>
      </c>
      <c r="I167" t="s">
        <v>1082</v>
      </c>
      <c r="K167" t="s">
        <v>1340</v>
      </c>
    </row>
    <row r="168" spans="5:11" x14ac:dyDescent="0.25">
      <c r="E168" t="s">
        <v>871</v>
      </c>
      <c r="G168" t="s">
        <v>1040</v>
      </c>
      <c r="I168" t="s">
        <v>1234</v>
      </c>
      <c r="K168" t="s">
        <v>1341</v>
      </c>
    </row>
    <row r="169" spans="5:11" x14ac:dyDescent="0.25">
      <c r="E169" t="s">
        <v>872</v>
      </c>
      <c r="G169" t="s">
        <v>1041</v>
      </c>
      <c r="I169" t="s">
        <v>1235</v>
      </c>
      <c r="K169" t="s">
        <v>1342</v>
      </c>
    </row>
    <row r="170" spans="5:11" x14ac:dyDescent="0.25">
      <c r="E170" t="s">
        <v>873</v>
      </c>
      <c r="G170" t="s">
        <v>1042</v>
      </c>
      <c r="I170" t="s">
        <v>1236</v>
      </c>
      <c r="K170" t="s">
        <v>1343</v>
      </c>
    </row>
    <row r="171" spans="5:11" x14ac:dyDescent="0.25">
      <c r="E171" t="s">
        <v>874</v>
      </c>
      <c r="G171" t="s">
        <v>1043</v>
      </c>
      <c r="I171" t="s">
        <v>1237</v>
      </c>
      <c r="K171" t="s">
        <v>1344</v>
      </c>
    </row>
    <row r="172" spans="5:11" x14ac:dyDescent="0.25">
      <c r="E172" t="s">
        <v>875</v>
      </c>
      <c r="G172" t="s">
        <v>1044</v>
      </c>
      <c r="I172" t="s">
        <v>1238</v>
      </c>
      <c r="K172" t="s">
        <v>1345</v>
      </c>
    </row>
    <row r="173" spans="5:11" x14ac:dyDescent="0.25">
      <c r="E173" s="2">
        <v>44082</v>
      </c>
      <c r="G173" t="s">
        <v>1045</v>
      </c>
      <c r="I173" t="s">
        <v>1239</v>
      </c>
      <c r="K173" t="s">
        <v>1346</v>
      </c>
    </row>
    <row r="174" spans="5:11" x14ac:dyDescent="0.25">
      <c r="E174" t="s">
        <v>876</v>
      </c>
      <c r="G174" t="s">
        <v>1046</v>
      </c>
      <c r="I174" t="s">
        <v>1240</v>
      </c>
      <c r="K174" t="s">
        <v>1347</v>
      </c>
    </row>
    <row r="175" spans="5:11" x14ac:dyDescent="0.25">
      <c r="E175" t="s">
        <v>877</v>
      </c>
      <c r="G175" s="3">
        <v>19115</v>
      </c>
      <c r="I175" s="2">
        <v>44051</v>
      </c>
      <c r="K175" t="s">
        <v>1348</v>
      </c>
    </row>
    <row r="176" spans="5:11" x14ac:dyDescent="0.25">
      <c r="E176" t="s">
        <v>878</v>
      </c>
      <c r="G176" t="s">
        <v>1047</v>
      </c>
      <c r="I176" t="s">
        <v>1089</v>
      </c>
      <c r="K176" t="s">
        <v>1349</v>
      </c>
    </row>
    <row r="177" spans="5:11" x14ac:dyDescent="0.25">
      <c r="E177" t="s">
        <v>879</v>
      </c>
      <c r="G177" t="s">
        <v>1048</v>
      </c>
      <c r="I177" t="s">
        <v>1241</v>
      </c>
      <c r="K177" t="s">
        <v>1350</v>
      </c>
    </row>
    <row r="178" spans="5:11" x14ac:dyDescent="0.25">
      <c r="E178" t="s">
        <v>880</v>
      </c>
      <c r="G178" t="s">
        <v>1049</v>
      </c>
      <c r="I178" t="s">
        <v>1242</v>
      </c>
      <c r="K178" t="s">
        <v>1351</v>
      </c>
    </row>
    <row r="179" spans="5:11" x14ac:dyDescent="0.25">
      <c r="G179" t="s">
        <v>1050</v>
      </c>
      <c r="K179" t="s">
        <v>1352</v>
      </c>
    </row>
    <row r="180" spans="5:11" x14ac:dyDescent="0.25">
      <c r="G180" t="s">
        <v>1051</v>
      </c>
      <c r="K180" t="s">
        <v>1353</v>
      </c>
    </row>
    <row r="181" spans="5:11" x14ac:dyDescent="0.25">
      <c r="G181" t="s">
        <v>1052</v>
      </c>
      <c r="K181" t="s">
        <v>1354</v>
      </c>
    </row>
    <row r="182" spans="5:11" x14ac:dyDescent="0.25">
      <c r="G182" t="s">
        <v>1053</v>
      </c>
      <c r="K182" t="s">
        <v>1355</v>
      </c>
    </row>
    <row r="183" spans="5:11" x14ac:dyDescent="0.25">
      <c r="G183" t="s">
        <v>1054</v>
      </c>
      <c r="K183" t="s">
        <v>1356</v>
      </c>
    </row>
    <row r="184" spans="5:11" x14ac:dyDescent="0.25">
      <c r="G184" t="s">
        <v>1055</v>
      </c>
      <c r="K184" t="s">
        <v>1357</v>
      </c>
    </row>
    <row r="185" spans="5:11" x14ac:dyDescent="0.25">
      <c r="G185" t="s">
        <v>1056</v>
      </c>
      <c r="K185" t="s">
        <v>1358</v>
      </c>
    </row>
    <row r="186" spans="5:11" x14ac:dyDescent="0.25">
      <c r="G186" t="s">
        <v>1057</v>
      </c>
      <c r="K186" t="s">
        <v>1359</v>
      </c>
    </row>
    <row r="187" spans="5:11" x14ac:dyDescent="0.25">
      <c r="G187" t="s">
        <v>1058</v>
      </c>
      <c r="K187" t="s">
        <v>1067</v>
      </c>
    </row>
    <row r="188" spans="5:11" x14ac:dyDescent="0.25">
      <c r="G188" t="s">
        <v>1059</v>
      </c>
      <c r="K188" t="s">
        <v>1211</v>
      </c>
    </row>
    <row r="189" spans="5:11" x14ac:dyDescent="0.25">
      <c r="G189" t="s">
        <v>1060</v>
      </c>
      <c r="K189" t="s">
        <v>1212</v>
      </c>
    </row>
    <row r="190" spans="5:11" x14ac:dyDescent="0.25">
      <c r="G190" t="s">
        <v>1061</v>
      </c>
      <c r="K190" t="s">
        <v>1213</v>
      </c>
    </row>
    <row r="191" spans="5:11" x14ac:dyDescent="0.25">
      <c r="G191" t="s">
        <v>1062</v>
      </c>
      <c r="K191" t="s">
        <v>1214</v>
      </c>
    </row>
    <row r="192" spans="5:11" x14ac:dyDescent="0.25">
      <c r="G192" t="s">
        <v>1063</v>
      </c>
      <c r="K192" t="s">
        <v>1215</v>
      </c>
    </row>
    <row r="193" spans="7:11" x14ac:dyDescent="0.25">
      <c r="G193" t="s">
        <v>1064</v>
      </c>
      <c r="K193" s="2">
        <v>43957</v>
      </c>
    </row>
    <row r="194" spans="7:11" x14ac:dyDescent="0.25">
      <c r="G194" t="s">
        <v>1065</v>
      </c>
      <c r="K194" t="s">
        <v>1216</v>
      </c>
    </row>
    <row r="195" spans="7:11" x14ac:dyDescent="0.25">
      <c r="G195" t="s">
        <v>1066</v>
      </c>
      <c r="K195" t="s">
        <v>1217</v>
      </c>
    </row>
    <row r="196" spans="7:11" x14ac:dyDescent="0.25">
      <c r="G196" t="s">
        <v>1067</v>
      </c>
      <c r="K196" t="s">
        <v>1218</v>
      </c>
    </row>
    <row r="197" spans="7:11" x14ac:dyDescent="0.25">
      <c r="G197" t="s">
        <v>1068</v>
      </c>
      <c r="K197" t="s">
        <v>1220</v>
      </c>
    </row>
    <row r="198" spans="7:11" x14ac:dyDescent="0.25">
      <c r="G198" t="s">
        <v>1069</v>
      </c>
      <c r="K198" t="s">
        <v>1221</v>
      </c>
    </row>
    <row r="199" spans="7:11" x14ac:dyDescent="0.25">
      <c r="G199" t="s">
        <v>1070</v>
      </c>
      <c r="K199" t="s">
        <v>1222</v>
      </c>
    </row>
    <row r="200" spans="7:11" x14ac:dyDescent="0.25">
      <c r="G200" t="s">
        <v>1071</v>
      </c>
      <c r="K200" t="s">
        <v>1223</v>
      </c>
    </row>
    <row r="201" spans="7:11" x14ac:dyDescent="0.25">
      <c r="G201" t="s">
        <v>1072</v>
      </c>
      <c r="K201" t="s">
        <v>1224</v>
      </c>
    </row>
    <row r="202" spans="7:11" x14ac:dyDescent="0.25">
      <c r="G202" t="s">
        <v>1073</v>
      </c>
      <c r="K202" t="s">
        <v>1225</v>
      </c>
    </row>
    <row r="203" spans="7:11" x14ac:dyDescent="0.25">
      <c r="G203" t="s">
        <v>1074</v>
      </c>
      <c r="K203" t="s">
        <v>1226</v>
      </c>
    </row>
    <row r="204" spans="7:11" x14ac:dyDescent="0.25">
      <c r="G204" t="s">
        <v>1075</v>
      </c>
      <c r="K204" t="s">
        <v>1227</v>
      </c>
    </row>
    <row r="205" spans="7:11" x14ac:dyDescent="0.25">
      <c r="G205" t="s">
        <v>1076</v>
      </c>
      <c r="K205" t="s">
        <v>1228</v>
      </c>
    </row>
    <row r="206" spans="7:11" x14ac:dyDescent="0.25">
      <c r="G206" t="s">
        <v>1077</v>
      </c>
      <c r="K206" t="s">
        <v>1229</v>
      </c>
    </row>
    <row r="207" spans="7:11" x14ac:dyDescent="0.25">
      <c r="G207" t="s">
        <v>1078</v>
      </c>
      <c r="K207" t="s">
        <v>1230</v>
      </c>
    </row>
    <row r="208" spans="7:11" x14ac:dyDescent="0.25">
      <c r="G208" t="s">
        <v>1079</v>
      </c>
      <c r="K208" t="s">
        <v>1231</v>
      </c>
    </row>
    <row r="209" spans="7:11" x14ac:dyDescent="0.25">
      <c r="G209" t="s">
        <v>863</v>
      </c>
      <c r="K209" t="s">
        <v>1232</v>
      </c>
    </row>
    <row r="210" spans="7:11" x14ac:dyDescent="0.25">
      <c r="G210" t="s">
        <v>1080</v>
      </c>
      <c r="K210" t="s">
        <v>863</v>
      </c>
    </row>
    <row r="211" spans="7:11" x14ac:dyDescent="0.25">
      <c r="G211" t="s">
        <v>1081</v>
      </c>
      <c r="K211" t="s">
        <v>1233</v>
      </c>
    </row>
    <row r="212" spans="7:11" x14ac:dyDescent="0.25">
      <c r="G212" t="s">
        <v>1082</v>
      </c>
      <c r="K212" t="s">
        <v>1081</v>
      </c>
    </row>
    <row r="213" spans="7:11" x14ac:dyDescent="0.25">
      <c r="G213" t="s">
        <v>1083</v>
      </c>
      <c r="K213" t="s">
        <v>1082</v>
      </c>
    </row>
    <row r="214" spans="7:11" x14ac:dyDescent="0.25">
      <c r="G214" t="s">
        <v>1084</v>
      </c>
      <c r="K214" t="s">
        <v>1360</v>
      </c>
    </row>
    <row r="215" spans="7:11" x14ac:dyDescent="0.25">
      <c r="G215" t="s">
        <v>1085</v>
      </c>
      <c r="K215" t="s">
        <v>1361</v>
      </c>
    </row>
    <row r="216" spans="7:11" x14ac:dyDescent="0.25">
      <c r="G216" t="s">
        <v>1086</v>
      </c>
      <c r="K216" t="s">
        <v>1362</v>
      </c>
    </row>
    <row r="217" spans="7:11" x14ac:dyDescent="0.25">
      <c r="G217" t="s">
        <v>1087</v>
      </c>
      <c r="K217" t="s">
        <v>1363</v>
      </c>
    </row>
    <row r="218" spans="7:11" x14ac:dyDescent="0.25">
      <c r="G218" t="s">
        <v>1088</v>
      </c>
      <c r="K218" t="s">
        <v>1364</v>
      </c>
    </row>
    <row r="219" spans="7:11" x14ac:dyDescent="0.25">
      <c r="G219" t="s">
        <v>1089</v>
      </c>
      <c r="K219" t="s">
        <v>1365</v>
      </c>
    </row>
    <row r="220" spans="7:11" x14ac:dyDescent="0.25">
      <c r="G220" t="s">
        <v>1090</v>
      </c>
      <c r="K220" t="s">
        <v>1366</v>
      </c>
    </row>
    <row r="221" spans="7:11" x14ac:dyDescent="0.25">
      <c r="G221" t="s">
        <v>1091</v>
      </c>
      <c r="K221" s="2">
        <v>44112</v>
      </c>
    </row>
    <row r="222" spans="7:11" x14ac:dyDescent="0.25">
      <c r="G222" s="2">
        <v>44112</v>
      </c>
      <c r="K222" t="s">
        <v>1367</v>
      </c>
    </row>
    <row r="223" spans="7:11" x14ac:dyDescent="0.25">
      <c r="G223" t="s">
        <v>1092</v>
      </c>
      <c r="K223" t="s">
        <v>1368</v>
      </c>
    </row>
    <row r="224" spans="7:11" x14ac:dyDescent="0.25">
      <c r="G224" t="s">
        <v>1093</v>
      </c>
      <c r="K224" t="s">
        <v>1369</v>
      </c>
    </row>
    <row r="225" spans="7:11" x14ac:dyDescent="0.25">
      <c r="G225" t="s">
        <v>275</v>
      </c>
      <c r="K225" s="2">
        <v>44173</v>
      </c>
    </row>
    <row r="226" spans="7:11" x14ac:dyDescent="0.25">
      <c r="G226" t="s">
        <v>1094</v>
      </c>
      <c r="K226" t="s">
        <v>1370</v>
      </c>
    </row>
    <row r="227" spans="7:11" x14ac:dyDescent="0.25">
      <c r="K227" t="s">
        <v>1371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4CEF0-EFCD-4974-8AB6-0C1B698C0B40}">
  <dimension ref="A1:P197"/>
  <sheetViews>
    <sheetView zoomScale="70" zoomScaleNormal="70" workbookViewId="0">
      <selection activeCell="A41" sqref="A41"/>
    </sheetView>
  </sheetViews>
  <sheetFormatPr defaultRowHeight="15" x14ac:dyDescent="0.25"/>
  <cols>
    <col min="1" max="1" width="86.5703125" bestFit="1" customWidth="1"/>
    <col min="2" max="2" width="73" hidden="1" customWidth="1"/>
    <col min="8" max="14" width="63.85546875" bestFit="1" customWidth="1"/>
    <col min="15" max="15" width="76" customWidth="1"/>
  </cols>
  <sheetData>
    <row r="1" spans="1:16" x14ac:dyDescent="0.25">
      <c r="B1" t="s">
        <v>1682</v>
      </c>
      <c r="C1" t="s">
        <v>1682</v>
      </c>
      <c r="E1" t="s">
        <v>1682</v>
      </c>
      <c r="F1" t="s">
        <v>1682</v>
      </c>
      <c r="G1" t="s">
        <v>1682</v>
      </c>
      <c r="H1" t="s">
        <v>1682</v>
      </c>
      <c r="I1" t="s">
        <v>1682</v>
      </c>
      <c r="J1" t="s">
        <v>1682</v>
      </c>
      <c r="K1" t="s">
        <v>1682</v>
      </c>
      <c r="L1" t="s">
        <v>1682</v>
      </c>
      <c r="M1" t="s">
        <v>1682</v>
      </c>
      <c r="N1" t="s">
        <v>1682</v>
      </c>
    </row>
    <row r="2" spans="1:16" x14ac:dyDescent="0.25">
      <c r="A2" t="s">
        <v>1523</v>
      </c>
      <c r="B2" t="str">
        <f>IF(H2="",IF(I2="",IF(J2="",IF(K2="",IF(L2="",IF(M2="",IF(N2="",IF(O2="","",_xlfn.CONCAT(D2,E2,F2," - ",O2)),_xlfn.CONCAT(D2,E2,F2," - ",N2)),_xlfn.CONCAT(D2,E2,F2," - ",M2)),_xlfn.CONCAT(D2,E2,F2," - ",L2)),_xlfn.CONCAT(D2,E2,F2," - ",K2)),_xlfn.CONCAT(D2,E2,F2," - ",J2)),_xlfn.CONCAT(D2,E2,F2," - ",I2)),_xlfn.CONCAT(D2,E2,F2," - ",H2))</f>
        <v>PTC1 - Informações gerais</v>
      </c>
      <c r="D2" t="s">
        <v>1462</v>
      </c>
      <c r="E2" t="s">
        <v>1463</v>
      </c>
      <c r="H2" s="5" t="s">
        <v>153</v>
      </c>
      <c r="I2" s="5" t="s">
        <v>153</v>
      </c>
      <c r="J2" s="5" t="s">
        <v>479</v>
      </c>
      <c r="K2" s="5" t="s">
        <v>153</v>
      </c>
      <c r="L2" s="5" t="s">
        <v>153</v>
      </c>
      <c r="M2" s="5" t="s">
        <v>153</v>
      </c>
      <c r="N2" s="5" t="s">
        <v>153</v>
      </c>
      <c r="O2" t="s">
        <v>1683</v>
      </c>
      <c r="P2" t="s">
        <v>0</v>
      </c>
    </row>
    <row r="3" spans="1:16" x14ac:dyDescent="0.25">
      <c r="A3" t="s">
        <v>1524</v>
      </c>
      <c r="B3" t="str">
        <f t="shared" ref="B3:B66" si="0">IF(H3="",IF(I3="",IF(J3="",IF(K3="",IF(L3="",IF(M3="",IF(N3="",IF(O3="","",_xlfn.CONCAT(D3,E3,F3," - ",O3)),_xlfn.CONCAT(D3,E3,F3," - ",N3)),_xlfn.CONCAT(D3,E3,F3," - ",M3)),_xlfn.CONCAT(D3,E3,F3," - ",L3)),_xlfn.CONCAT(D3,E3,F3," - ",K3)),_xlfn.CONCAT(D3,E3,F3," - ",J3)),_xlfn.CONCAT(D3,E3,F3," - ",I3)),_xlfn.CONCAT(D3,E3,F3," - ",H3))</f>
        <v>PTC1001 - Grupo-alvo</v>
      </c>
      <c r="D3" t="s">
        <v>1462</v>
      </c>
      <c r="E3" t="s">
        <v>1463</v>
      </c>
      <c r="F3" s="14" t="s">
        <v>1472</v>
      </c>
      <c r="H3" t="s">
        <v>154</v>
      </c>
      <c r="I3" t="s">
        <v>154</v>
      </c>
      <c r="J3" t="s">
        <v>154</v>
      </c>
      <c r="K3" t="s">
        <v>154</v>
      </c>
      <c r="L3" t="s">
        <v>154</v>
      </c>
      <c r="M3" t="s">
        <v>154</v>
      </c>
      <c r="N3" t="s">
        <v>154</v>
      </c>
      <c r="O3" t="s">
        <v>1684</v>
      </c>
      <c r="P3" t="s">
        <v>1</v>
      </c>
    </row>
    <row r="4" spans="1:16" x14ac:dyDescent="0.25">
      <c r="A4" t="s">
        <v>1525</v>
      </c>
      <c r="B4" t="str">
        <f t="shared" si="0"/>
        <v>PTC1002 - Informações sobre a documentação técnica</v>
      </c>
      <c r="D4" t="s">
        <v>1462</v>
      </c>
      <c r="E4" t="s">
        <v>1463</v>
      </c>
      <c r="F4" s="14" t="s">
        <v>1473</v>
      </c>
      <c r="H4" t="s">
        <v>155</v>
      </c>
      <c r="I4" t="s">
        <v>155</v>
      </c>
      <c r="J4" t="s">
        <v>480</v>
      </c>
      <c r="K4" t="s">
        <v>155</v>
      </c>
      <c r="L4" t="s">
        <v>155</v>
      </c>
      <c r="M4" t="s">
        <v>480</v>
      </c>
      <c r="N4" t="s">
        <v>480</v>
      </c>
      <c r="O4" t="s">
        <v>1685</v>
      </c>
      <c r="P4" t="s">
        <v>2</v>
      </c>
    </row>
    <row r="5" spans="1:16" x14ac:dyDescent="0.25">
      <c r="A5" t="s">
        <v>1526</v>
      </c>
      <c r="B5" t="str">
        <f t="shared" si="0"/>
        <v>PTC1003 - Atribuição da máquina</v>
      </c>
      <c r="D5" t="s">
        <v>1462</v>
      </c>
      <c r="E5" t="s">
        <v>1463</v>
      </c>
      <c r="F5" s="14" t="s">
        <v>1474</v>
      </c>
      <c r="H5" t="s">
        <v>156</v>
      </c>
      <c r="I5" t="s">
        <v>156</v>
      </c>
      <c r="J5" t="s">
        <v>156</v>
      </c>
      <c r="K5" t="s">
        <v>156</v>
      </c>
      <c r="L5" t="s">
        <v>552</v>
      </c>
      <c r="M5" t="s">
        <v>156</v>
      </c>
      <c r="N5" t="s">
        <v>156</v>
      </c>
      <c r="O5" t="s">
        <v>1686</v>
      </c>
      <c r="P5" t="s">
        <v>3</v>
      </c>
    </row>
    <row r="6" spans="1:16" x14ac:dyDescent="0.25">
      <c r="A6" t="s">
        <v>1527</v>
      </c>
      <c r="B6" t="str">
        <f t="shared" si="0"/>
        <v>PTC1004 - Componentes integrados</v>
      </c>
      <c r="D6" t="s">
        <v>1462</v>
      </c>
      <c r="E6" t="s">
        <v>1463</v>
      </c>
      <c r="F6" s="14" t="s">
        <v>1475</v>
      </c>
      <c r="J6" t="s">
        <v>481</v>
      </c>
      <c r="O6" t="s">
        <v>1687</v>
      </c>
      <c r="P6" t="s">
        <v>481</v>
      </c>
    </row>
    <row r="7" spans="1:16" x14ac:dyDescent="0.25">
      <c r="A7" t="s">
        <v>1528</v>
      </c>
      <c r="B7" t="str">
        <f t="shared" si="0"/>
        <v>PTC1005 - Assistência ao cliente</v>
      </c>
      <c r="D7" t="s">
        <v>1462</v>
      </c>
      <c r="E7" t="s">
        <v>1463</v>
      </c>
      <c r="F7" s="14" t="s">
        <v>1476</v>
      </c>
      <c r="H7" t="s">
        <v>157</v>
      </c>
      <c r="I7" t="s">
        <v>157</v>
      </c>
      <c r="J7" t="s">
        <v>157</v>
      </c>
      <c r="K7" t="s">
        <v>157</v>
      </c>
      <c r="L7" t="s">
        <v>157</v>
      </c>
      <c r="M7" t="s">
        <v>157</v>
      </c>
      <c r="N7" t="s">
        <v>157</v>
      </c>
      <c r="O7" t="s">
        <v>1688</v>
      </c>
      <c r="P7" t="s">
        <v>4</v>
      </c>
    </row>
    <row r="8" spans="1:16" x14ac:dyDescent="0.25">
      <c r="A8" t="s">
        <v>1529</v>
      </c>
      <c r="B8" t="str">
        <f t="shared" si="0"/>
        <v>PTC1006 - Direitos autorais</v>
      </c>
      <c r="D8" t="s">
        <v>1462</v>
      </c>
      <c r="E8" t="s">
        <v>1463</v>
      </c>
      <c r="F8" s="14" t="s">
        <v>1477</v>
      </c>
      <c r="H8" t="s">
        <v>158</v>
      </c>
      <c r="I8" t="s">
        <v>158</v>
      </c>
      <c r="J8" t="s">
        <v>158</v>
      </c>
      <c r="K8" t="s">
        <v>158</v>
      </c>
      <c r="L8" t="s">
        <v>158</v>
      </c>
      <c r="M8" t="s">
        <v>158</v>
      </c>
      <c r="N8" t="s">
        <v>158</v>
      </c>
      <c r="O8" t="s">
        <v>1689</v>
      </c>
      <c r="P8" t="s">
        <v>5</v>
      </c>
    </row>
    <row r="9" spans="1:16" x14ac:dyDescent="0.25">
      <c r="A9" t="s">
        <v>1530</v>
      </c>
      <c r="B9" t="str">
        <f t="shared" si="0"/>
        <v xml:space="preserve">PTC1007 - Avisos para a leitura </v>
      </c>
      <c r="D9" t="s">
        <v>1462</v>
      </c>
      <c r="E9" t="s">
        <v>1463</v>
      </c>
      <c r="F9" s="14" t="s">
        <v>1478</v>
      </c>
      <c r="H9" t="s">
        <v>159</v>
      </c>
      <c r="I9" t="s">
        <v>159</v>
      </c>
      <c r="J9" t="s">
        <v>482</v>
      </c>
      <c r="K9" t="s">
        <v>159</v>
      </c>
      <c r="L9" t="s">
        <v>159</v>
      </c>
      <c r="M9" t="s">
        <v>482</v>
      </c>
      <c r="N9" t="s">
        <v>482</v>
      </c>
      <c r="O9" t="s">
        <v>1690</v>
      </c>
      <c r="P9" t="s">
        <v>6</v>
      </c>
    </row>
    <row r="10" spans="1:16" x14ac:dyDescent="0.25">
      <c r="A10" t="s">
        <v>1531</v>
      </c>
      <c r="B10" t="str">
        <f t="shared" si="0"/>
        <v>PTC2 - Segurança</v>
      </c>
      <c r="D10" t="s">
        <v>1462</v>
      </c>
      <c r="E10" t="s">
        <v>1464</v>
      </c>
      <c r="H10" s="5" t="s">
        <v>160</v>
      </c>
      <c r="I10" s="5" t="s">
        <v>160</v>
      </c>
      <c r="J10" s="5" t="s">
        <v>160</v>
      </c>
      <c r="K10" s="5" t="s">
        <v>160</v>
      </c>
      <c r="L10" s="5" t="s">
        <v>160</v>
      </c>
      <c r="M10" s="5" t="s">
        <v>160</v>
      </c>
      <c r="N10" s="5" t="s">
        <v>160</v>
      </c>
      <c r="O10" t="s">
        <v>1691</v>
      </c>
      <c r="P10" t="s">
        <v>7</v>
      </c>
    </row>
    <row r="11" spans="1:16" x14ac:dyDescent="0.25">
      <c r="A11" t="s">
        <v>1532</v>
      </c>
      <c r="B11" t="str">
        <f t="shared" si="0"/>
        <v>PTC2001 - Função de avisos de segurança</v>
      </c>
      <c r="D11" t="s">
        <v>1462</v>
      </c>
      <c r="E11" t="s">
        <v>1464</v>
      </c>
      <c r="F11" s="14" t="s">
        <v>1472</v>
      </c>
      <c r="H11" t="s">
        <v>161</v>
      </c>
      <c r="I11" t="s">
        <v>161</v>
      </c>
      <c r="J11" t="s">
        <v>483</v>
      </c>
      <c r="K11" t="s">
        <v>161</v>
      </c>
      <c r="L11" t="s">
        <v>161</v>
      </c>
      <c r="M11" t="s">
        <v>483</v>
      </c>
      <c r="N11" t="s">
        <v>483</v>
      </c>
      <c r="O11" t="s">
        <v>1692</v>
      </c>
      <c r="P11" t="s">
        <v>8</v>
      </c>
    </row>
    <row r="12" spans="1:16" x14ac:dyDescent="0.25">
      <c r="A12" t="s">
        <v>1533</v>
      </c>
      <c r="B12" t="str">
        <f t="shared" si="0"/>
        <v>PTC2002 - Utilização prevista</v>
      </c>
      <c r="D12" t="s">
        <v>1462</v>
      </c>
      <c r="E12" t="s">
        <v>1464</v>
      </c>
      <c r="F12" s="14" t="s">
        <v>1473</v>
      </c>
      <c r="H12" t="s">
        <v>162</v>
      </c>
      <c r="I12" t="s">
        <v>162</v>
      </c>
      <c r="J12" t="s">
        <v>162</v>
      </c>
      <c r="K12" t="s">
        <v>162</v>
      </c>
      <c r="L12" t="s">
        <v>162</v>
      </c>
      <c r="M12" t="s">
        <v>162</v>
      </c>
      <c r="N12" t="s">
        <v>162</v>
      </c>
      <c r="O12" t="s">
        <v>1693</v>
      </c>
      <c r="P12" t="s">
        <v>9</v>
      </c>
    </row>
    <row r="13" spans="1:16" x14ac:dyDescent="0.25">
      <c r="A13" t="s">
        <v>1534</v>
      </c>
      <c r="B13" t="str">
        <f t="shared" si="0"/>
        <v>PTC2003 - Possibilidades de uso incorreto</v>
      </c>
      <c r="D13" t="s">
        <v>1462</v>
      </c>
      <c r="E13" t="s">
        <v>1464</v>
      </c>
      <c r="F13" s="14" t="s">
        <v>1474</v>
      </c>
      <c r="H13" t="s">
        <v>163</v>
      </c>
      <c r="I13" t="s">
        <v>546</v>
      </c>
      <c r="J13" t="s">
        <v>484</v>
      </c>
      <c r="K13" t="s">
        <v>546</v>
      </c>
      <c r="L13" t="s">
        <v>546</v>
      </c>
      <c r="M13" t="s">
        <v>484</v>
      </c>
      <c r="N13" t="s">
        <v>484</v>
      </c>
      <c r="O13" t="s">
        <v>1694</v>
      </c>
      <c r="P13" t="s">
        <v>10</v>
      </c>
    </row>
    <row r="14" spans="1:16" x14ac:dyDescent="0.25">
      <c r="A14" t="s">
        <v>1535</v>
      </c>
      <c r="B14" t="str">
        <f t="shared" si="0"/>
        <v>PTC2004 - Deveres do operador</v>
      </c>
      <c r="D14" t="s">
        <v>1462</v>
      </c>
      <c r="E14" t="s">
        <v>1464</v>
      </c>
      <c r="F14" s="14" t="s">
        <v>1475</v>
      </c>
      <c r="H14" t="s">
        <v>164</v>
      </c>
      <c r="I14" t="s">
        <v>164</v>
      </c>
      <c r="J14" t="s">
        <v>164</v>
      </c>
      <c r="K14" t="s">
        <v>164</v>
      </c>
      <c r="L14" t="s">
        <v>164</v>
      </c>
      <c r="M14" t="s">
        <v>164</v>
      </c>
      <c r="N14" t="s">
        <v>164</v>
      </c>
      <c r="O14" t="s">
        <v>1695</v>
      </c>
      <c r="P14" t="s">
        <v>11</v>
      </c>
    </row>
    <row r="15" spans="1:16" x14ac:dyDescent="0.25">
      <c r="A15" t="s">
        <v>1536</v>
      </c>
      <c r="B15" t="str">
        <f t="shared" si="0"/>
        <v>PTC2005 - Requisitos relativos ao pessoal</v>
      </c>
      <c r="D15" t="s">
        <v>1462</v>
      </c>
      <c r="E15" t="s">
        <v>1464</v>
      </c>
      <c r="F15" s="14" t="s">
        <v>1476</v>
      </c>
      <c r="H15" t="s">
        <v>165</v>
      </c>
      <c r="I15" t="s">
        <v>165</v>
      </c>
      <c r="J15" t="s">
        <v>485</v>
      </c>
      <c r="K15" t="s">
        <v>165</v>
      </c>
      <c r="L15" t="s">
        <v>165</v>
      </c>
      <c r="M15" t="s">
        <v>485</v>
      </c>
      <c r="N15" t="s">
        <v>485</v>
      </c>
      <c r="O15" t="s">
        <v>1696</v>
      </c>
      <c r="P15" t="s">
        <v>12</v>
      </c>
    </row>
    <row r="16" spans="1:16" x14ac:dyDescent="0.25">
      <c r="A16" t="s">
        <v>1537</v>
      </c>
      <c r="B16" t="str">
        <f t="shared" si="0"/>
        <v>PTC2006 - Equipamento de proteção</v>
      </c>
      <c r="D16" t="s">
        <v>1462</v>
      </c>
      <c r="E16" t="s">
        <v>1464</v>
      </c>
      <c r="F16" s="14" t="s">
        <v>1477</v>
      </c>
      <c r="H16" t="s">
        <v>166</v>
      </c>
      <c r="I16" t="s">
        <v>166</v>
      </c>
      <c r="J16" t="s">
        <v>166</v>
      </c>
      <c r="K16" t="s">
        <v>166</v>
      </c>
      <c r="L16" t="s">
        <v>166</v>
      </c>
      <c r="M16" t="s">
        <v>166</v>
      </c>
      <c r="N16" t="s">
        <v>166</v>
      </c>
      <c r="O16" t="s">
        <v>166</v>
      </c>
      <c r="P16" t="s">
        <v>13</v>
      </c>
    </row>
    <row r="17" spans="1:16" x14ac:dyDescent="0.25">
      <c r="A17" t="s">
        <v>1538</v>
      </c>
      <c r="B17" t="str">
        <f t="shared" si="0"/>
        <v>PTC2007 - Áreas de risco e sua identificação</v>
      </c>
      <c r="D17" t="s">
        <v>1462</v>
      </c>
      <c r="E17" t="s">
        <v>1464</v>
      </c>
      <c r="F17" s="14" t="s">
        <v>1478</v>
      </c>
      <c r="H17" t="s">
        <v>167</v>
      </c>
      <c r="I17" t="s">
        <v>167</v>
      </c>
      <c r="J17" t="s">
        <v>486</v>
      </c>
      <c r="K17" t="s">
        <v>167</v>
      </c>
      <c r="L17" t="s">
        <v>167</v>
      </c>
      <c r="M17" t="s">
        <v>486</v>
      </c>
      <c r="N17" t="s">
        <v>486</v>
      </c>
      <c r="O17" t="s">
        <v>1697</v>
      </c>
      <c r="P17" t="s">
        <v>14</v>
      </c>
    </row>
    <row r="18" spans="1:16" x14ac:dyDescent="0.25">
      <c r="A18" s="15" t="s">
        <v>1837</v>
      </c>
      <c r="B18" s="15" t="str">
        <f t="shared" si="0"/>
        <v>PTC2008 - sinais de proibição</v>
      </c>
      <c r="D18" t="s">
        <v>1462</v>
      </c>
      <c r="E18" t="s">
        <v>1464</v>
      </c>
      <c r="F18" s="14" t="s">
        <v>1479</v>
      </c>
      <c r="O18" t="s">
        <v>1698</v>
      </c>
      <c r="P18" t="s">
        <v>139</v>
      </c>
    </row>
    <row r="19" spans="1:16" x14ac:dyDescent="0.25">
      <c r="A19" t="s">
        <v>1539</v>
      </c>
      <c r="B19" t="str">
        <f t="shared" si="0"/>
        <v>PTC2009 - Sinais de aviso</v>
      </c>
      <c r="D19" t="s">
        <v>1462</v>
      </c>
      <c r="E19" t="s">
        <v>1464</v>
      </c>
      <c r="F19" s="14" t="s">
        <v>1480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168</v>
      </c>
      <c r="N19" t="s">
        <v>168</v>
      </c>
      <c r="O19" t="s">
        <v>168</v>
      </c>
      <c r="P19" t="s">
        <v>15</v>
      </c>
    </row>
    <row r="20" spans="1:16" x14ac:dyDescent="0.25">
      <c r="A20" t="s">
        <v>1540</v>
      </c>
      <c r="B20" t="str">
        <f t="shared" si="0"/>
        <v>PTC2010 - Sinais de obrigação</v>
      </c>
      <c r="D20" t="s">
        <v>1462</v>
      </c>
      <c r="E20" t="s">
        <v>1464</v>
      </c>
      <c r="F20" s="14" t="s">
        <v>1481</v>
      </c>
      <c r="H20" t="s">
        <v>169</v>
      </c>
      <c r="I20" t="s">
        <v>169</v>
      </c>
      <c r="K20" t="s">
        <v>169</v>
      </c>
      <c r="L20" t="s">
        <v>169</v>
      </c>
      <c r="M20" t="s">
        <v>169</v>
      </c>
      <c r="N20" t="s">
        <v>169</v>
      </c>
      <c r="O20" t="s">
        <v>1699</v>
      </c>
      <c r="P20" t="s">
        <v>127</v>
      </c>
    </row>
    <row r="21" spans="1:16" x14ac:dyDescent="0.25">
      <c r="A21" t="s">
        <v>1541</v>
      </c>
      <c r="B21" t="str">
        <f t="shared" si="0"/>
        <v>PTC2011 - Localização dos sinais</v>
      </c>
      <c r="D21" t="s">
        <v>1462</v>
      </c>
      <c r="E21" t="s">
        <v>1464</v>
      </c>
      <c r="F21" s="14" t="s">
        <v>1482</v>
      </c>
      <c r="H21" t="s">
        <v>170</v>
      </c>
      <c r="I21" t="s">
        <v>170</v>
      </c>
      <c r="J21" t="s">
        <v>487</v>
      </c>
      <c r="K21" t="s">
        <v>170</v>
      </c>
      <c r="L21" t="s">
        <v>170</v>
      </c>
      <c r="M21" t="s">
        <v>487</v>
      </c>
      <c r="N21" t="s">
        <v>487</v>
      </c>
      <c r="O21" t="s">
        <v>1700</v>
      </c>
      <c r="P21" t="s">
        <v>16</v>
      </c>
    </row>
    <row r="22" spans="1:16" x14ac:dyDescent="0.25">
      <c r="A22" t="s">
        <v>1542</v>
      </c>
      <c r="B22" t="str">
        <f t="shared" si="0"/>
        <v>PTC2012 - Dispositivos de proteção</v>
      </c>
      <c r="D22" t="s">
        <v>1462</v>
      </c>
      <c r="E22" t="s">
        <v>1464</v>
      </c>
      <c r="F22" s="14" t="s">
        <v>1483</v>
      </c>
      <c r="H22" t="s">
        <v>171</v>
      </c>
      <c r="I22" t="s">
        <v>171</v>
      </c>
      <c r="J22" t="s">
        <v>171</v>
      </c>
      <c r="K22" t="s">
        <v>171</v>
      </c>
      <c r="L22" t="s">
        <v>171</v>
      </c>
      <c r="M22" t="s">
        <v>171</v>
      </c>
      <c r="N22" t="s">
        <v>171</v>
      </c>
      <c r="O22" t="s">
        <v>1701</v>
      </c>
      <c r="P22" t="s">
        <v>17</v>
      </c>
    </row>
    <row r="23" spans="1:16" x14ac:dyDescent="0.25">
      <c r="A23" t="s">
        <v>1543</v>
      </c>
      <c r="B23" t="str">
        <f t="shared" si="0"/>
        <v>PTC2013 - Parada de emergência</v>
      </c>
      <c r="D23" t="s">
        <v>1462</v>
      </c>
      <c r="E23" t="s">
        <v>1464</v>
      </c>
      <c r="F23" s="14" t="s">
        <v>1484</v>
      </c>
      <c r="H23" t="s">
        <v>172</v>
      </c>
      <c r="I23" t="s">
        <v>172</v>
      </c>
      <c r="J23" t="s">
        <v>488</v>
      </c>
      <c r="K23" t="s">
        <v>172</v>
      </c>
      <c r="L23" t="s">
        <v>172</v>
      </c>
      <c r="M23" t="s">
        <v>488</v>
      </c>
      <c r="N23" t="s">
        <v>488</v>
      </c>
      <c r="O23" t="s">
        <v>172</v>
      </c>
      <c r="P23" t="s">
        <v>18</v>
      </c>
    </row>
    <row r="24" spans="1:16" x14ac:dyDescent="0.25">
      <c r="A24" t="s">
        <v>1544</v>
      </c>
      <c r="B24" t="str">
        <f t="shared" si="0"/>
        <v>PTC2014 - Válvula de segurança contra sobrepressão não permitida</v>
      </c>
      <c r="D24" t="s">
        <v>1462</v>
      </c>
      <c r="E24" t="s">
        <v>1464</v>
      </c>
      <c r="F24" s="14" t="s">
        <v>1485</v>
      </c>
      <c r="H24" t="s">
        <v>173</v>
      </c>
      <c r="I24" t="s">
        <v>173</v>
      </c>
      <c r="J24" t="s">
        <v>489</v>
      </c>
      <c r="K24" t="s">
        <v>173</v>
      </c>
      <c r="L24" t="s">
        <v>173</v>
      </c>
      <c r="M24" t="s">
        <v>489</v>
      </c>
      <c r="N24" t="s">
        <v>489</v>
      </c>
      <c r="O24" t="s">
        <v>1702</v>
      </c>
      <c r="P24" t="s">
        <v>19</v>
      </c>
    </row>
    <row r="25" spans="1:16" x14ac:dyDescent="0.25">
      <c r="A25" t="s">
        <v>1545</v>
      </c>
      <c r="B25" t="str">
        <f t="shared" si="0"/>
        <v>PTC2015 - Grelha de proteção</v>
      </c>
      <c r="D25" t="s">
        <v>1462</v>
      </c>
      <c r="E25" t="s">
        <v>1464</v>
      </c>
      <c r="F25" s="14" t="s">
        <v>1486</v>
      </c>
      <c r="J25" t="s">
        <v>490</v>
      </c>
      <c r="L25" t="s">
        <v>553</v>
      </c>
      <c r="M25" t="s">
        <v>490</v>
      </c>
      <c r="N25" t="s">
        <v>490</v>
      </c>
      <c r="O25" t="s">
        <v>1703</v>
      </c>
      <c r="P25" t="s">
        <v>128</v>
      </c>
    </row>
    <row r="26" spans="1:16" x14ac:dyDescent="0.25">
      <c r="A26" t="s">
        <v>1546</v>
      </c>
      <c r="B26" t="str">
        <f t="shared" si="0"/>
        <v>PTC2016 - Isolamento</v>
      </c>
      <c r="D26" t="s">
        <v>1462</v>
      </c>
      <c r="E26" t="s">
        <v>1464</v>
      </c>
      <c r="F26" s="14" t="s">
        <v>1487</v>
      </c>
      <c r="L26" t="s">
        <v>554</v>
      </c>
      <c r="M26" t="s">
        <v>554</v>
      </c>
      <c r="N26" t="s">
        <v>554</v>
      </c>
      <c r="O26" t="s">
        <v>554</v>
      </c>
      <c r="P26" t="s">
        <v>129</v>
      </c>
    </row>
    <row r="27" spans="1:16" x14ac:dyDescent="0.25">
      <c r="A27" t="s">
        <v>1547</v>
      </c>
      <c r="B27" t="str">
        <f t="shared" si="0"/>
        <v>PTC2017 - Localização dos dispositivos de proteção</v>
      </c>
      <c r="D27" t="s">
        <v>1462</v>
      </c>
      <c r="E27" t="s">
        <v>1464</v>
      </c>
      <c r="F27" s="14" t="s">
        <v>1488</v>
      </c>
      <c r="H27" t="s">
        <v>174</v>
      </c>
      <c r="I27" t="s">
        <v>174</v>
      </c>
      <c r="J27" t="s">
        <v>491</v>
      </c>
      <c r="K27" t="s">
        <v>174</v>
      </c>
      <c r="L27" t="s">
        <v>174</v>
      </c>
      <c r="M27" t="s">
        <v>491</v>
      </c>
      <c r="N27" t="s">
        <v>491</v>
      </c>
      <c r="O27" t="s">
        <v>1704</v>
      </c>
      <c r="P27" t="s">
        <v>20</v>
      </c>
    </row>
    <row r="28" spans="1:16" x14ac:dyDescent="0.25">
      <c r="A28" t="s">
        <v>1548</v>
      </c>
      <c r="B28" t="str">
        <f t="shared" si="0"/>
        <v>PTC2018 - Dispositivos para desligamento e proteção</v>
      </c>
      <c r="D28" t="s">
        <v>1462</v>
      </c>
      <c r="E28" t="s">
        <v>1464</v>
      </c>
      <c r="F28" s="14" t="s">
        <v>1489</v>
      </c>
      <c r="H28" t="s">
        <v>175</v>
      </c>
      <c r="I28" t="s">
        <v>547</v>
      </c>
      <c r="J28" t="s">
        <v>492</v>
      </c>
      <c r="K28" t="s">
        <v>547</v>
      </c>
      <c r="L28" t="s">
        <v>547</v>
      </c>
      <c r="M28" t="s">
        <v>492</v>
      </c>
      <c r="N28" t="s">
        <v>492</v>
      </c>
      <c r="O28" t="s">
        <v>1705</v>
      </c>
      <c r="P28" t="s">
        <v>21</v>
      </c>
    </row>
    <row r="29" spans="1:16" x14ac:dyDescent="0.25">
      <c r="A29" t="s">
        <v>1549</v>
      </c>
      <c r="B29" t="str">
        <f t="shared" si="0"/>
        <v>PTC2019 - Conduta em situações de perigo e acidentes</v>
      </c>
      <c r="D29" t="s">
        <v>1462</v>
      </c>
      <c r="E29" t="s">
        <v>1464</v>
      </c>
      <c r="F29" s="14" t="s">
        <v>1490</v>
      </c>
      <c r="H29" t="s">
        <v>176</v>
      </c>
      <c r="I29" t="s">
        <v>176</v>
      </c>
      <c r="J29" t="s">
        <v>493</v>
      </c>
      <c r="K29" t="s">
        <v>176</v>
      </c>
      <c r="L29" t="s">
        <v>555</v>
      </c>
      <c r="M29" t="s">
        <v>493</v>
      </c>
      <c r="N29" t="s">
        <v>493</v>
      </c>
      <c r="O29" t="s">
        <v>1706</v>
      </c>
      <c r="P29" t="s">
        <v>22</v>
      </c>
    </row>
    <row r="30" spans="1:16" x14ac:dyDescent="0.25">
      <c r="A30" t="s">
        <v>1550</v>
      </c>
      <c r="B30" t="str">
        <f t="shared" si="0"/>
        <v>PTC2020 - Estados operacionais</v>
      </c>
      <c r="D30" t="s">
        <v>1462</v>
      </c>
      <c r="E30" t="s">
        <v>1464</v>
      </c>
      <c r="F30" s="14" t="s">
        <v>1491</v>
      </c>
      <c r="H30" t="s">
        <v>177</v>
      </c>
      <c r="I30" t="s">
        <v>177</v>
      </c>
      <c r="J30" t="s">
        <v>177</v>
      </c>
      <c r="K30" t="s">
        <v>177</v>
      </c>
      <c r="L30" t="s">
        <v>177</v>
      </c>
      <c r="M30" t="s">
        <v>1417</v>
      </c>
      <c r="N30" t="s">
        <v>1417</v>
      </c>
      <c r="O30" t="s">
        <v>1707</v>
      </c>
      <c r="P30" t="s">
        <v>23</v>
      </c>
    </row>
    <row r="31" spans="1:16" x14ac:dyDescent="0.25">
      <c r="A31" t="s">
        <v>1551</v>
      </c>
      <c r="B31" t="str">
        <f t="shared" si="0"/>
        <v>PTC2021 - Máquina desbloqueada</v>
      </c>
      <c r="D31" t="s">
        <v>1462</v>
      </c>
      <c r="E31" t="s">
        <v>1464</v>
      </c>
      <c r="F31" s="14" t="s">
        <v>1492</v>
      </c>
      <c r="H31" t="s">
        <v>178</v>
      </c>
      <c r="I31" t="s">
        <v>178</v>
      </c>
      <c r="J31" t="s">
        <v>494</v>
      </c>
      <c r="K31" t="s">
        <v>178</v>
      </c>
      <c r="L31" t="s">
        <v>556</v>
      </c>
      <c r="M31" t="s">
        <v>178</v>
      </c>
      <c r="N31" t="s">
        <v>178</v>
      </c>
      <c r="O31" t="s">
        <v>1708</v>
      </c>
      <c r="P31" t="s">
        <v>24</v>
      </c>
    </row>
    <row r="32" spans="1:16" x14ac:dyDescent="0.25">
      <c r="A32" t="s">
        <v>1552</v>
      </c>
      <c r="B32" t="str">
        <f t="shared" si="0"/>
        <v>PTC2022 - Estado operacional desligado</v>
      </c>
      <c r="D32" t="s">
        <v>1462</v>
      </c>
      <c r="E32" t="s">
        <v>1464</v>
      </c>
      <c r="F32" s="14" t="s">
        <v>1493</v>
      </c>
      <c r="H32" t="s">
        <v>179</v>
      </c>
      <c r="I32" t="s">
        <v>179</v>
      </c>
      <c r="J32" t="s">
        <v>495</v>
      </c>
      <c r="K32" t="s">
        <v>179</v>
      </c>
      <c r="L32" t="s">
        <v>557</v>
      </c>
      <c r="M32" t="s">
        <v>495</v>
      </c>
      <c r="N32" t="s">
        <v>495</v>
      </c>
      <c r="O32" t="s">
        <v>1709</v>
      </c>
      <c r="P32" t="s">
        <v>25</v>
      </c>
    </row>
    <row r="33" spans="1:16" x14ac:dyDescent="0.25">
      <c r="A33" t="s">
        <v>1553</v>
      </c>
      <c r="B33" t="str">
        <f t="shared" si="0"/>
        <v>PTC2023 - Estado operacional ligado</v>
      </c>
      <c r="D33" t="s">
        <v>1462</v>
      </c>
      <c r="E33" t="s">
        <v>1464</v>
      </c>
      <c r="F33" s="14" t="s">
        <v>1494</v>
      </c>
      <c r="H33" t="s">
        <v>180</v>
      </c>
      <c r="I33" t="s">
        <v>180</v>
      </c>
      <c r="J33" t="s">
        <v>180</v>
      </c>
      <c r="K33" t="s">
        <v>180</v>
      </c>
      <c r="L33" t="s">
        <v>558</v>
      </c>
      <c r="M33" t="s">
        <v>180</v>
      </c>
      <c r="N33" t="s">
        <v>180</v>
      </c>
      <c r="O33" t="s">
        <v>1710</v>
      </c>
      <c r="P33" t="s">
        <v>26</v>
      </c>
    </row>
    <row r="34" spans="1:16" x14ac:dyDescent="0.25">
      <c r="A34" t="s">
        <v>1554</v>
      </c>
      <c r="B34" t="str">
        <f t="shared" si="0"/>
        <v>PTC2024 - Recipiente pressurizado</v>
      </c>
      <c r="D34" t="s">
        <v>1462</v>
      </c>
      <c r="E34" t="s">
        <v>1464</v>
      </c>
      <c r="F34" s="14" t="s">
        <v>1495</v>
      </c>
      <c r="J34" t="s">
        <v>496</v>
      </c>
      <c r="L34" t="s">
        <v>559</v>
      </c>
      <c r="O34" t="s">
        <v>1711</v>
      </c>
      <c r="P34" t="s">
        <v>27</v>
      </c>
    </row>
    <row r="35" spans="1:16" x14ac:dyDescent="0.25">
      <c r="A35" t="s">
        <v>1555</v>
      </c>
      <c r="B35" t="str">
        <f t="shared" si="0"/>
        <v>PTC2025 - Riscos residuais</v>
      </c>
      <c r="D35" t="s">
        <v>1462</v>
      </c>
      <c r="E35" t="s">
        <v>1464</v>
      </c>
      <c r="F35" s="14" t="s">
        <v>1496</v>
      </c>
      <c r="H35" t="s">
        <v>181</v>
      </c>
      <c r="I35" t="s">
        <v>181</v>
      </c>
      <c r="J35" t="s">
        <v>497</v>
      </c>
      <c r="K35" t="s">
        <v>181</v>
      </c>
      <c r="L35" t="s">
        <v>181</v>
      </c>
      <c r="M35" t="s">
        <v>497</v>
      </c>
      <c r="N35" t="s">
        <v>497</v>
      </c>
      <c r="O35" t="s">
        <v>1712</v>
      </c>
      <c r="P35" t="s">
        <v>28</v>
      </c>
    </row>
    <row r="36" spans="1:16" x14ac:dyDescent="0.25">
      <c r="A36" t="s">
        <v>1556</v>
      </c>
      <c r="B36" t="str">
        <f t="shared" si="0"/>
        <v>PTC3 - Estrutura e funcionamento</v>
      </c>
      <c r="D36" t="s">
        <v>1462</v>
      </c>
      <c r="E36" t="s">
        <v>1465</v>
      </c>
      <c r="H36" s="5" t="s">
        <v>182</v>
      </c>
      <c r="I36" s="5" t="s">
        <v>182</v>
      </c>
      <c r="J36" s="5" t="s">
        <v>182</v>
      </c>
      <c r="K36" s="5" t="s">
        <v>182</v>
      </c>
      <c r="L36" s="5" t="s">
        <v>182</v>
      </c>
      <c r="M36" s="5" t="s">
        <v>182</v>
      </c>
      <c r="N36" s="5" t="s">
        <v>182</v>
      </c>
      <c r="O36" t="s">
        <v>182</v>
      </c>
      <c r="P36" t="s">
        <v>29</v>
      </c>
    </row>
    <row r="37" spans="1:16" x14ac:dyDescent="0.25">
      <c r="A37" t="s">
        <v>1557</v>
      </c>
      <c r="B37" t="str">
        <f t="shared" si="0"/>
        <v>PTC3001 - Sistema de limpeza</v>
      </c>
      <c r="D37" t="s">
        <v>1462</v>
      </c>
      <c r="E37" t="s">
        <v>1465</v>
      </c>
      <c r="F37" s="14" t="s">
        <v>1472</v>
      </c>
      <c r="H37" t="s">
        <v>183</v>
      </c>
      <c r="I37" t="s">
        <v>183</v>
      </c>
      <c r="J37" t="s">
        <v>183</v>
      </c>
      <c r="K37" t="s">
        <v>183</v>
      </c>
      <c r="L37" t="s">
        <v>183</v>
      </c>
      <c r="M37" t="s">
        <v>183</v>
      </c>
      <c r="N37" t="s">
        <v>183</v>
      </c>
      <c r="O37" t="s">
        <v>1713</v>
      </c>
      <c r="P37" t="s">
        <v>30</v>
      </c>
    </row>
    <row r="38" spans="1:16" x14ac:dyDescent="0.25">
      <c r="A38" t="s">
        <v>1558</v>
      </c>
      <c r="B38" t="str">
        <f t="shared" si="0"/>
        <v>PTC3002 - Tanques (área CR72, CR73, CR74, CR75)</v>
      </c>
      <c r="D38" t="s">
        <v>1462</v>
      </c>
      <c r="E38" t="s">
        <v>1465</v>
      </c>
      <c r="F38" s="14" t="s">
        <v>1473</v>
      </c>
      <c r="H38" t="s">
        <v>184</v>
      </c>
      <c r="I38" t="s">
        <v>184</v>
      </c>
      <c r="J38" t="s">
        <v>308</v>
      </c>
      <c r="K38" t="s">
        <v>184</v>
      </c>
      <c r="L38" t="s">
        <v>184</v>
      </c>
      <c r="M38" t="s">
        <v>1418</v>
      </c>
      <c r="N38" t="s">
        <v>1418</v>
      </c>
      <c r="O38" t="s">
        <v>1714</v>
      </c>
      <c r="P38" t="s">
        <v>31</v>
      </c>
    </row>
    <row r="39" spans="1:16" x14ac:dyDescent="0.25">
      <c r="A39" t="s">
        <v>1559</v>
      </c>
      <c r="B39" t="str">
        <f t="shared" si="0"/>
        <v>PTC3003 - Estação de dosagem de concentrado de produto de limpeza</v>
      </c>
      <c r="D39" t="s">
        <v>1462</v>
      </c>
      <c r="E39" t="s">
        <v>1465</v>
      </c>
      <c r="F39" s="14" t="s">
        <v>1474</v>
      </c>
      <c r="H39" t="s">
        <v>185</v>
      </c>
      <c r="I39" t="s">
        <v>185</v>
      </c>
      <c r="J39" t="s">
        <v>185</v>
      </c>
      <c r="K39" t="s">
        <v>185</v>
      </c>
      <c r="L39" t="s">
        <v>185</v>
      </c>
      <c r="M39" t="s">
        <v>185</v>
      </c>
      <c r="N39" t="s">
        <v>185</v>
      </c>
      <c r="O39" t="s">
        <v>1715</v>
      </c>
      <c r="P39" t="s">
        <v>32</v>
      </c>
    </row>
    <row r="40" spans="1:16" x14ac:dyDescent="0.25">
      <c r="A40" t="s">
        <v>1560</v>
      </c>
      <c r="B40" t="str">
        <f t="shared" si="0"/>
        <v>PTC3004 - Alimentação área CR69 e CR70</v>
      </c>
      <c r="D40" t="s">
        <v>1462</v>
      </c>
      <c r="E40" t="s">
        <v>1465</v>
      </c>
      <c r="F40" s="14" t="s">
        <v>1475</v>
      </c>
      <c r="M40" t="s">
        <v>1419</v>
      </c>
      <c r="N40" t="s">
        <v>1419</v>
      </c>
      <c r="O40" t="s">
        <v>1716</v>
      </c>
      <c r="P40" t="s">
        <v>131</v>
      </c>
    </row>
    <row r="41" spans="1:16" x14ac:dyDescent="0.25">
      <c r="A41" s="15" t="s">
        <v>1822</v>
      </c>
      <c r="B41" s="15" t="str">
        <f t="shared" si="0"/>
        <v>PTC3005 - Detergente e circuito de vapor (CR70 área)</v>
      </c>
      <c r="D41" t="s">
        <v>1462</v>
      </c>
      <c r="E41" t="s">
        <v>1465</v>
      </c>
      <c r="F41" s="14" t="s">
        <v>1476</v>
      </c>
      <c r="O41" t="s">
        <v>1717</v>
      </c>
      <c r="P41" t="s">
        <v>33</v>
      </c>
    </row>
    <row r="42" spans="1:16" x14ac:dyDescent="0.25">
      <c r="A42" s="15" t="s">
        <v>1823</v>
      </c>
      <c r="B42" s="15" t="str">
        <f t="shared" si="0"/>
        <v>PTC3006 - Detergente e circuito de vapor (área CR69)</v>
      </c>
      <c r="D42" t="s">
        <v>1462</v>
      </c>
      <c r="E42" t="s">
        <v>1465</v>
      </c>
      <c r="F42" s="14" t="s">
        <v>1477</v>
      </c>
      <c r="O42" t="s">
        <v>1718</v>
      </c>
      <c r="P42" t="s">
        <v>34</v>
      </c>
    </row>
    <row r="43" spans="1:16" x14ac:dyDescent="0.25">
      <c r="A43" s="15" t="s">
        <v>1824</v>
      </c>
      <c r="B43" s="15" t="str">
        <f t="shared" si="0"/>
        <v>PTC3007 - Aquecedor de água fresca (área CR84)</v>
      </c>
      <c r="D43" t="s">
        <v>1462</v>
      </c>
      <c r="E43" t="s">
        <v>1465</v>
      </c>
      <c r="F43" s="14" t="s">
        <v>1478</v>
      </c>
      <c r="O43" t="s">
        <v>1719</v>
      </c>
      <c r="P43" t="s">
        <v>35</v>
      </c>
    </row>
    <row r="44" spans="1:16" x14ac:dyDescent="0.25">
      <c r="A44" s="15" t="s">
        <v>1825</v>
      </c>
      <c r="B44" s="15" t="str">
        <f t="shared" si="0"/>
        <v>PTC3008 - Aquecedor de água fresca (área CR83)</v>
      </c>
      <c r="D44" t="s">
        <v>1462</v>
      </c>
      <c r="E44" t="s">
        <v>1465</v>
      </c>
      <c r="F44" s="14" t="s">
        <v>1479</v>
      </c>
      <c r="O44" t="s">
        <v>1720</v>
      </c>
      <c r="P44" t="s">
        <v>36</v>
      </c>
    </row>
    <row r="45" spans="1:16" x14ac:dyDescent="0.25">
      <c r="A45" t="s">
        <v>1561</v>
      </c>
      <c r="B45" t="str">
        <f t="shared" si="0"/>
        <v>PTC3009 - Tanque de produtos de limpeza (Área CR70)</v>
      </c>
      <c r="D45" t="s">
        <v>1462</v>
      </c>
      <c r="E45" t="s">
        <v>1465</v>
      </c>
      <c r="F45" s="14" t="s">
        <v>1480</v>
      </c>
      <c r="H45" t="s">
        <v>186</v>
      </c>
      <c r="I45" t="s">
        <v>186</v>
      </c>
      <c r="J45" t="s">
        <v>498</v>
      </c>
      <c r="K45" t="s">
        <v>186</v>
      </c>
      <c r="L45" t="s">
        <v>560</v>
      </c>
      <c r="O45" t="s">
        <v>1721</v>
      </c>
      <c r="P45" t="s">
        <v>140</v>
      </c>
    </row>
    <row r="46" spans="1:16" x14ac:dyDescent="0.25">
      <c r="A46" s="15" t="s">
        <v>1838</v>
      </c>
      <c r="B46" s="15" t="str">
        <f t="shared" si="0"/>
        <v>PTC3010 - circuito de água quente (CR70 área)</v>
      </c>
      <c r="D46" t="s">
        <v>1462</v>
      </c>
      <c r="E46" t="s">
        <v>1465</v>
      </c>
      <c r="F46" s="14" t="s">
        <v>1481</v>
      </c>
      <c r="O46" t="s">
        <v>1722</v>
      </c>
      <c r="P46" t="s">
        <v>1430</v>
      </c>
    </row>
    <row r="47" spans="1:16" x14ac:dyDescent="0.25">
      <c r="A47" t="s">
        <v>1562</v>
      </c>
      <c r="B47" t="str">
        <f t="shared" si="0"/>
        <v>PTC3011 - Circuito de vapor (área CR70)</v>
      </c>
      <c r="D47" t="s">
        <v>1462</v>
      </c>
      <c r="E47" t="s">
        <v>1465</v>
      </c>
      <c r="F47" s="14" t="s">
        <v>1482</v>
      </c>
      <c r="H47" t="s">
        <v>187</v>
      </c>
      <c r="I47" t="s">
        <v>187</v>
      </c>
      <c r="J47" t="s">
        <v>187</v>
      </c>
      <c r="K47" t="s">
        <v>187</v>
      </c>
      <c r="L47" t="s">
        <v>187</v>
      </c>
      <c r="O47" t="s">
        <v>1723</v>
      </c>
      <c r="P47" t="s">
        <v>141</v>
      </c>
    </row>
    <row r="48" spans="1:16" x14ac:dyDescent="0.25">
      <c r="A48" t="s">
        <v>1563</v>
      </c>
      <c r="B48" t="str">
        <f t="shared" si="0"/>
        <v>PTC3012 - Distribuidor (área CR70)</v>
      </c>
      <c r="D48" t="s">
        <v>1462</v>
      </c>
      <c r="E48" t="s">
        <v>1465</v>
      </c>
      <c r="F48" s="14" t="s">
        <v>1483</v>
      </c>
      <c r="J48" t="s">
        <v>311</v>
      </c>
      <c r="O48" t="s">
        <v>1724</v>
      </c>
      <c r="P48" t="s">
        <v>142</v>
      </c>
    </row>
    <row r="49" spans="1:16" x14ac:dyDescent="0.25">
      <c r="A49" s="15" t="s">
        <v>1826</v>
      </c>
      <c r="B49" s="15" t="str">
        <f t="shared" si="0"/>
        <v>PTC3013 - Distribuidor na alimentação primária para o PET máquina de enchimento (CR70 área)</v>
      </c>
      <c r="D49" t="s">
        <v>1462</v>
      </c>
      <c r="E49" t="s">
        <v>1465</v>
      </c>
      <c r="F49" s="14" t="s">
        <v>1484</v>
      </c>
      <c r="O49" t="s">
        <v>1725</v>
      </c>
      <c r="P49" t="s">
        <v>1433</v>
      </c>
    </row>
    <row r="50" spans="1:16" x14ac:dyDescent="0.25">
      <c r="A50" t="s">
        <v>1564</v>
      </c>
      <c r="B50" t="str">
        <f t="shared" si="0"/>
        <v>PTC3014 - Alimentação de água quente ao enxágue da tampadora</v>
      </c>
      <c r="D50" t="s">
        <v>1462</v>
      </c>
      <c r="E50" t="s">
        <v>1465</v>
      </c>
      <c r="F50" s="14" t="s">
        <v>1485</v>
      </c>
      <c r="L50" t="s">
        <v>561</v>
      </c>
      <c r="O50" t="s">
        <v>420</v>
      </c>
      <c r="P50" t="s">
        <v>420</v>
      </c>
    </row>
    <row r="51" spans="1:16" x14ac:dyDescent="0.25">
      <c r="A51" t="s">
        <v>1565</v>
      </c>
      <c r="B51" t="str">
        <f t="shared" si="0"/>
        <v>PTC3015 - Abastecimento de ar de controle</v>
      </c>
      <c r="D51" t="s">
        <v>1462</v>
      </c>
      <c r="E51" t="s">
        <v>1465</v>
      </c>
      <c r="F51" s="14" t="s">
        <v>1486</v>
      </c>
      <c r="H51" t="s">
        <v>188</v>
      </c>
      <c r="I51" t="s">
        <v>188</v>
      </c>
      <c r="J51" t="s">
        <v>499</v>
      </c>
      <c r="K51" t="s">
        <v>188</v>
      </c>
      <c r="L51" t="s">
        <v>562</v>
      </c>
      <c r="M51" t="s">
        <v>499</v>
      </c>
      <c r="N51" t="s">
        <v>499</v>
      </c>
      <c r="O51" t="s">
        <v>1726</v>
      </c>
      <c r="P51" t="s">
        <v>37</v>
      </c>
    </row>
    <row r="52" spans="1:16" x14ac:dyDescent="0.25">
      <c r="A52" s="15" t="s">
        <v>1839</v>
      </c>
      <c r="B52" s="15" t="str">
        <f t="shared" si="0"/>
        <v>PTC3016 - medição do consumo</v>
      </c>
      <c r="D52" t="s">
        <v>1462</v>
      </c>
      <c r="E52" t="s">
        <v>1465</v>
      </c>
      <c r="F52" s="14" t="s">
        <v>1487</v>
      </c>
      <c r="O52" t="s">
        <v>1727</v>
      </c>
      <c r="P52" t="s">
        <v>1449</v>
      </c>
    </row>
    <row r="53" spans="1:16" x14ac:dyDescent="0.25">
      <c r="A53" s="15" t="s">
        <v>1857</v>
      </c>
      <c r="B53" s="15" t="str">
        <f t="shared" si="0"/>
        <v>PTC3017 - Medidor de vazão para água doce e água de serviço</v>
      </c>
      <c r="D53" t="s">
        <v>1462</v>
      </c>
      <c r="E53" t="s">
        <v>1465</v>
      </c>
      <c r="F53" s="14" t="s">
        <v>1488</v>
      </c>
      <c r="O53" t="s">
        <v>1728</v>
      </c>
      <c r="P53" t="s">
        <v>1450</v>
      </c>
    </row>
    <row r="54" spans="1:16" x14ac:dyDescent="0.25">
      <c r="A54" s="15" t="s">
        <v>1827</v>
      </c>
      <c r="B54" s="15" t="str">
        <f t="shared" si="0"/>
        <v>PTC3018 - Medidor de fluxo de vapor</v>
      </c>
      <c r="D54" t="s">
        <v>1462</v>
      </c>
      <c r="E54" t="s">
        <v>1465</v>
      </c>
      <c r="F54" s="14" t="s">
        <v>1489</v>
      </c>
      <c r="O54" t="s">
        <v>1729</v>
      </c>
      <c r="P54" t="s">
        <v>1375</v>
      </c>
    </row>
    <row r="55" spans="1:16" x14ac:dyDescent="0.25">
      <c r="A55" t="s">
        <v>1566</v>
      </c>
      <c r="B55" t="str">
        <f t="shared" si="0"/>
        <v>PTC3019 - Bomba de retorno (área CR79)</v>
      </c>
      <c r="D55" t="s">
        <v>1462</v>
      </c>
      <c r="E55" t="s">
        <v>1465</v>
      </c>
      <c r="F55" s="14" t="s">
        <v>1490</v>
      </c>
      <c r="J55" t="s">
        <v>500</v>
      </c>
      <c r="O55" t="s">
        <v>500</v>
      </c>
      <c r="P55" t="s">
        <v>500</v>
      </c>
    </row>
    <row r="56" spans="1:16" x14ac:dyDescent="0.25">
      <c r="A56" t="s">
        <v>1567</v>
      </c>
      <c r="B56" t="str">
        <f t="shared" si="0"/>
        <v>PTC3020 - Dispositivos de aviso</v>
      </c>
      <c r="D56" t="s">
        <v>1462</v>
      </c>
      <c r="E56" t="s">
        <v>1465</v>
      </c>
      <c r="F56" s="14" t="s">
        <v>1491</v>
      </c>
      <c r="H56" t="s">
        <v>189</v>
      </c>
      <c r="I56" t="s">
        <v>189</v>
      </c>
      <c r="J56" t="s">
        <v>189</v>
      </c>
      <c r="K56" t="s">
        <v>189</v>
      </c>
      <c r="L56" t="s">
        <v>189</v>
      </c>
      <c r="M56" t="s">
        <v>189</v>
      </c>
      <c r="N56" t="s">
        <v>189</v>
      </c>
      <c r="O56" t="s">
        <v>1730</v>
      </c>
      <c r="P56" t="s">
        <v>38</v>
      </c>
    </row>
    <row r="57" spans="1:16" x14ac:dyDescent="0.25">
      <c r="A57" t="s">
        <v>1568</v>
      </c>
      <c r="B57" t="str">
        <f t="shared" si="0"/>
        <v>PTC3021 - Dispositivos de comando</v>
      </c>
      <c r="D57" t="s">
        <v>1462</v>
      </c>
      <c r="E57" t="s">
        <v>1465</v>
      </c>
      <c r="F57" s="14" t="s">
        <v>1492</v>
      </c>
      <c r="H57" t="s">
        <v>190</v>
      </c>
      <c r="I57" t="s">
        <v>190</v>
      </c>
      <c r="J57" t="s">
        <v>190</v>
      </c>
      <c r="K57" t="s">
        <v>190</v>
      </c>
      <c r="L57" t="s">
        <v>190</v>
      </c>
      <c r="M57" t="s">
        <v>190</v>
      </c>
      <c r="N57" t="s">
        <v>190</v>
      </c>
      <c r="O57" t="s">
        <v>1731</v>
      </c>
      <c r="P57" t="s">
        <v>39</v>
      </c>
    </row>
    <row r="58" spans="1:16" x14ac:dyDescent="0.25">
      <c r="A58" t="s">
        <v>1569</v>
      </c>
      <c r="B58" t="str">
        <f t="shared" si="0"/>
        <v>PTC3022 - Console de operação</v>
      </c>
      <c r="D58" t="s">
        <v>1462</v>
      </c>
      <c r="E58" t="s">
        <v>1465</v>
      </c>
      <c r="F58" s="14" t="s">
        <v>1493</v>
      </c>
      <c r="H58" t="s">
        <v>191</v>
      </c>
      <c r="I58" t="s">
        <v>548</v>
      </c>
      <c r="K58" t="s">
        <v>548</v>
      </c>
      <c r="L58" t="s">
        <v>563</v>
      </c>
      <c r="M58" t="s">
        <v>508</v>
      </c>
      <c r="N58" t="s">
        <v>508</v>
      </c>
      <c r="O58" t="s">
        <v>1732</v>
      </c>
      <c r="P58" t="s">
        <v>61</v>
      </c>
    </row>
    <row r="59" spans="1:16" x14ac:dyDescent="0.25">
      <c r="A59" t="s">
        <v>1570</v>
      </c>
      <c r="B59" t="str">
        <f t="shared" si="0"/>
        <v>PTC3023 - Interface gráfica do usuário</v>
      </c>
      <c r="D59" t="s">
        <v>1462</v>
      </c>
      <c r="E59" t="s">
        <v>1465</v>
      </c>
      <c r="F59" s="14" t="s">
        <v>1494</v>
      </c>
      <c r="H59" t="s">
        <v>192</v>
      </c>
      <c r="I59" t="s">
        <v>192</v>
      </c>
      <c r="K59" t="s">
        <v>192</v>
      </c>
      <c r="L59" t="s">
        <v>192</v>
      </c>
      <c r="M59" t="s">
        <v>1420</v>
      </c>
      <c r="N59" t="s">
        <v>1420</v>
      </c>
      <c r="O59" t="s">
        <v>192</v>
      </c>
      <c r="P59" t="s">
        <v>132</v>
      </c>
    </row>
    <row r="60" spans="1:16" x14ac:dyDescent="0.25">
      <c r="A60" t="s">
        <v>1571</v>
      </c>
      <c r="B60" t="str">
        <f t="shared" si="0"/>
        <v>PTC3024 - Tela principal</v>
      </c>
      <c r="D60" t="s">
        <v>1462</v>
      </c>
      <c r="E60" t="s">
        <v>1465</v>
      </c>
      <c r="F60" s="14" t="s">
        <v>1495</v>
      </c>
      <c r="H60" t="s">
        <v>193</v>
      </c>
      <c r="I60" t="s">
        <v>193</v>
      </c>
      <c r="K60" t="s">
        <v>193</v>
      </c>
      <c r="L60" t="s">
        <v>193</v>
      </c>
      <c r="M60" t="s">
        <v>1421</v>
      </c>
      <c r="N60" t="s">
        <v>1421</v>
      </c>
      <c r="O60" t="s">
        <v>1421</v>
      </c>
      <c r="P60" t="s">
        <v>133</v>
      </c>
    </row>
    <row r="61" spans="1:16" x14ac:dyDescent="0.25">
      <c r="A61" t="s">
        <v>1572</v>
      </c>
      <c r="B61" t="str">
        <f t="shared" si="0"/>
        <v>PTC3025 - Favoritos</v>
      </c>
      <c r="D61" t="s">
        <v>1462</v>
      </c>
      <c r="E61" t="s">
        <v>1465</v>
      </c>
      <c r="F61" s="14" t="s">
        <v>1496</v>
      </c>
      <c r="H61" t="s">
        <v>194</v>
      </c>
      <c r="I61" t="s">
        <v>194</v>
      </c>
      <c r="K61" t="s">
        <v>194</v>
      </c>
      <c r="L61" t="s">
        <v>194</v>
      </c>
      <c r="M61" t="s">
        <v>194</v>
      </c>
      <c r="N61" t="s">
        <v>194</v>
      </c>
      <c r="O61" t="s">
        <v>1733</v>
      </c>
      <c r="P61" t="s">
        <v>134</v>
      </c>
    </row>
    <row r="62" spans="1:16" x14ac:dyDescent="0.25">
      <c r="A62" t="s">
        <v>1573</v>
      </c>
      <c r="B62" t="str">
        <f t="shared" si="0"/>
        <v>PTC3026 - Logon e logoff</v>
      </c>
      <c r="D62" t="s">
        <v>1462</v>
      </c>
      <c r="E62" t="s">
        <v>1465</v>
      </c>
      <c r="F62" s="14" t="s">
        <v>1497</v>
      </c>
      <c r="H62" t="s">
        <v>195</v>
      </c>
      <c r="I62" t="s">
        <v>195</v>
      </c>
      <c r="K62" t="s">
        <v>195</v>
      </c>
      <c r="L62" t="s">
        <v>564</v>
      </c>
      <c r="M62" t="s">
        <v>1422</v>
      </c>
      <c r="N62" t="s">
        <v>1422</v>
      </c>
      <c r="O62" t="s">
        <v>1734</v>
      </c>
      <c r="P62" t="s">
        <v>135</v>
      </c>
    </row>
    <row r="63" spans="1:16" x14ac:dyDescent="0.25">
      <c r="A63" t="s">
        <v>1574</v>
      </c>
      <c r="B63" t="str">
        <f t="shared" si="0"/>
        <v>PTC3027 - Menu principal</v>
      </c>
      <c r="D63" t="s">
        <v>1462</v>
      </c>
      <c r="E63" t="s">
        <v>1465</v>
      </c>
      <c r="F63" s="14" t="s">
        <v>1498</v>
      </c>
      <c r="H63" t="s">
        <v>196</v>
      </c>
      <c r="I63" t="s">
        <v>196</v>
      </c>
      <c r="K63" t="s">
        <v>196</v>
      </c>
      <c r="L63" t="s">
        <v>196</v>
      </c>
      <c r="M63" t="s">
        <v>196</v>
      </c>
      <c r="N63" t="s">
        <v>196</v>
      </c>
      <c r="O63" t="s">
        <v>196</v>
      </c>
      <c r="P63" t="s">
        <v>136</v>
      </c>
    </row>
    <row r="64" spans="1:16" x14ac:dyDescent="0.25">
      <c r="A64" t="s">
        <v>1575</v>
      </c>
      <c r="B64" t="str">
        <f t="shared" si="0"/>
        <v>PTC3028 - Sistema de limpeza</v>
      </c>
      <c r="D64" t="s">
        <v>1462</v>
      </c>
      <c r="E64" t="s">
        <v>1465</v>
      </c>
      <c r="F64" s="14" t="s">
        <v>1499</v>
      </c>
      <c r="H64" t="s">
        <v>183</v>
      </c>
      <c r="I64" t="s">
        <v>183</v>
      </c>
      <c r="K64" t="s">
        <v>183</v>
      </c>
      <c r="L64" t="s">
        <v>183</v>
      </c>
      <c r="M64" t="s">
        <v>183</v>
      </c>
      <c r="N64" t="s">
        <v>183</v>
      </c>
      <c r="O64" t="s">
        <v>1713</v>
      </c>
      <c r="P64" t="s">
        <v>30</v>
      </c>
    </row>
    <row r="65" spans="1:16" x14ac:dyDescent="0.25">
      <c r="A65" t="s">
        <v>1576</v>
      </c>
      <c r="B65" t="str">
        <f t="shared" si="0"/>
        <v>PTC3029 - Posto de trabalho</v>
      </c>
      <c r="D65" t="s">
        <v>1462</v>
      </c>
      <c r="E65" t="s">
        <v>1465</v>
      </c>
      <c r="F65" s="14" t="s">
        <v>1500</v>
      </c>
      <c r="H65" t="s">
        <v>197</v>
      </c>
      <c r="I65" t="s">
        <v>197</v>
      </c>
      <c r="J65" t="s">
        <v>197</v>
      </c>
      <c r="K65" t="s">
        <v>197</v>
      </c>
      <c r="L65" t="s">
        <v>197</v>
      </c>
      <c r="M65" t="s">
        <v>197</v>
      </c>
      <c r="N65" t="s">
        <v>197</v>
      </c>
      <c r="O65" t="s">
        <v>197</v>
      </c>
      <c r="P65" t="s">
        <v>40</v>
      </c>
    </row>
    <row r="66" spans="1:16" x14ac:dyDescent="0.25">
      <c r="A66" s="15" t="s">
        <v>1840</v>
      </c>
      <c r="B66" s="15" t="str">
        <f t="shared" si="0"/>
        <v>PTC3030 - O acesso remoto para o Serviço de Diagnóstico Remoto (Redis)</v>
      </c>
      <c r="D66" t="s">
        <v>1462</v>
      </c>
      <c r="E66" t="s">
        <v>1465</v>
      </c>
      <c r="F66" s="14" t="s">
        <v>1501</v>
      </c>
      <c r="O66" t="s">
        <v>1735</v>
      </c>
      <c r="P66" t="s">
        <v>143</v>
      </c>
    </row>
    <row r="67" spans="1:16" x14ac:dyDescent="0.25">
      <c r="A67" t="s">
        <v>1577</v>
      </c>
      <c r="B67" t="str">
        <f t="shared" ref="B67:B130" si="1">IF(H67="",IF(I67="",IF(J67="",IF(K67="",IF(L67="",IF(M67="",IF(N67="",IF(O67="","",_xlfn.CONCAT(D67,E67,F67," - ",O67)),_xlfn.CONCAT(D67,E67,F67," - ",N67)),_xlfn.CONCAT(D67,E67,F67," - ",M67)),_xlfn.CONCAT(D67,E67,F67," - ",L67)),_xlfn.CONCAT(D67,E67,F67," - ",K67)),_xlfn.CONCAT(D67,E67,F67," - ",J67)),_xlfn.CONCAT(D67,E67,F67," - ",I67)),_xlfn.CONCAT(D67,E67,F67," - ",H67))</f>
        <v>PTC3031 - Tecnologia de medição, controle e regulagem</v>
      </c>
      <c r="D67" t="s">
        <v>1462</v>
      </c>
      <c r="E67" t="s">
        <v>1465</v>
      </c>
      <c r="F67" s="14" t="s">
        <v>1502</v>
      </c>
      <c r="H67" t="s">
        <v>198</v>
      </c>
      <c r="I67" t="s">
        <v>198</v>
      </c>
      <c r="J67" t="s">
        <v>501</v>
      </c>
      <c r="K67" t="s">
        <v>198</v>
      </c>
      <c r="L67" t="s">
        <v>198</v>
      </c>
      <c r="M67" t="s">
        <v>1423</v>
      </c>
      <c r="N67" t="s">
        <v>1423</v>
      </c>
      <c r="O67" t="s">
        <v>1736</v>
      </c>
      <c r="P67" t="s">
        <v>41</v>
      </c>
    </row>
    <row r="68" spans="1:16" x14ac:dyDescent="0.25">
      <c r="A68" t="s">
        <v>1578</v>
      </c>
      <c r="B68" t="str">
        <f t="shared" si="1"/>
        <v>PTC3032 - Armário de distribuição</v>
      </c>
      <c r="D68" t="s">
        <v>1462</v>
      </c>
      <c r="E68" t="s">
        <v>1465</v>
      </c>
      <c r="F68" s="14" t="s">
        <v>1503</v>
      </c>
      <c r="H68" t="s">
        <v>199</v>
      </c>
      <c r="I68" t="s">
        <v>199</v>
      </c>
      <c r="J68" t="s">
        <v>199</v>
      </c>
      <c r="K68" t="s">
        <v>199</v>
      </c>
      <c r="L68" t="s">
        <v>199</v>
      </c>
      <c r="M68" t="s">
        <v>199</v>
      </c>
      <c r="N68" t="s">
        <v>199</v>
      </c>
      <c r="O68" t="s">
        <v>1737</v>
      </c>
      <c r="P68" t="s">
        <v>42</v>
      </c>
    </row>
    <row r="69" spans="1:16" x14ac:dyDescent="0.25">
      <c r="A69" t="s">
        <v>1579</v>
      </c>
      <c r="B69" t="str">
        <f t="shared" si="1"/>
        <v>PTC3033 - Comando da máquina</v>
      </c>
      <c r="D69" t="s">
        <v>1462</v>
      </c>
      <c r="E69" t="s">
        <v>1465</v>
      </c>
      <c r="F69" s="14" t="s">
        <v>1504</v>
      </c>
      <c r="H69" t="s">
        <v>200</v>
      </c>
      <c r="I69" t="s">
        <v>200</v>
      </c>
      <c r="J69" t="s">
        <v>200</v>
      </c>
      <c r="K69" t="s">
        <v>200</v>
      </c>
      <c r="L69" t="s">
        <v>200</v>
      </c>
      <c r="M69" t="s">
        <v>200</v>
      </c>
      <c r="N69" t="s">
        <v>200</v>
      </c>
      <c r="O69" t="s">
        <v>1738</v>
      </c>
      <c r="P69" t="s">
        <v>43</v>
      </c>
    </row>
    <row r="70" spans="1:16" x14ac:dyDescent="0.25">
      <c r="A70" t="s">
        <v>1580</v>
      </c>
      <c r="B70" t="str">
        <f t="shared" si="1"/>
        <v>PTC3034 - Comando da limpeza</v>
      </c>
      <c r="D70" t="s">
        <v>1462</v>
      </c>
      <c r="E70" t="s">
        <v>1465</v>
      </c>
      <c r="F70" s="14" t="s">
        <v>1505</v>
      </c>
      <c r="H70" t="s">
        <v>201</v>
      </c>
      <c r="I70" t="s">
        <v>201</v>
      </c>
      <c r="J70" t="s">
        <v>201</v>
      </c>
      <c r="K70" t="s">
        <v>201</v>
      </c>
      <c r="L70" t="s">
        <v>201</v>
      </c>
      <c r="M70" t="s">
        <v>201</v>
      </c>
      <c r="N70" t="s">
        <v>201</v>
      </c>
      <c r="O70" t="s">
        <v>1739</v>
      </c>
      <c r="P70" t="s">
        <v>44</v>
      </c>
    </row>
    <row r="71" spans="1:16" x14ac:dyDescent="0.25">
      <c r="A71" t="s">
        <v>1581</v>
      </c>
      <c r="B71" t="str">
        <f t="shared" si="1"/>
        <v>PTC3035 - Sistema pneumático</v>
      </c>
      <c r="D71" t="s">
        <v>1462</v>
      </c>
      <c r="E71" t="s">
        <v>1465</v>
      </c>
      <c r="F71" s="14" t="s">
        <v>1506</v>
      </c>
      <c r="H71" t="s">
        <v>202</v>
      </c>
      <c r="I71" t="s">
        <v>202</v>
      </c>
      <c r="J71" t="s">
        <v>202</v>
      </c>
      <c r="K71" t="s">
        <v>202</v>
      </c>
      <c r="L71" t="s">
        <v>202</v>
      </c>
      <c r="M71" t="s">
        <v>202</v>
      </c>
      <c r="N71" t="s">
        <v>202</v>
      </c>
      <c r="O71" t="s">
        <v>1740</v>
      </c>
      <c r="P71" t="s">
        <v>45</v>
      </c>
    </row>
    <row r="72" spans="1:16" x14ac:dyDescent="0.25">
      <c r="A72" t="s">
        <v>1582</v>
      </c>
      <c r="B72" t="str">
        <f t="shared" si="1"/>
        <v>PTC3036 - Parte elétrica</v>
      </c>
      <c r="D72" t="s">
        <v>1462</v>
      </c>
      <c r="E72" t="s">
        <v>1465</v>
      </c>
      <c r="F72" s="14" t="s">
        <v>1507</v>
      </c>
      <c r="H72" t="s">
        <v>203</v>
      </c>
      <c r="I72" t="s">
        <v>203</v>
      </c>
      <c r="J72" t="s">
        <v>502</v>
      </c>
      <c r="K72" t="s">
        <v>203</v>
      </c>
      <c r="L72" t="s">
        <v>502</v>
      </c>
      <c r="M72" t="s">
        <v>502</v>
      </c>
      <c r="N72" t="s">
        <v>502</v>
      </c>
      <c r="O72" t="s">
        <v>502</v>
      </c>
      <c r="P72" t="s">
        <v>46</v>
      </c>
    </row>
    <row r="73" spans="1:16" x14ac:dyDescent="0.25">
      <c r="A73" t="s">
        <v>1583</v>
      </c>
      <c r="B73" t="str">
        <f t="shared" si="1"/>
        <v>PTC4 - Montagem</v>
      </c>
      <c r="D73" t="s">
        <v>1462</v>
      </c>
      <c r="E73" t="s">
        <v>1466</v>
      </c>
      <c r="H73" s="5" t="s">
        <v>204</v>
      </c>
      <c r="I73" s="5" t="s">
        <v>204</v>
      </c>
      <c r="J73" s="5" t="s">
        <v>204</v>
      </c>
      <c r="K73" s="5" t="s">
        <v>204</v>
      </c>
      <c r="L73" s="5" t="s">
        <v>204</v>
      </c>
      <c r="M73" s="5" t="s">
        <v>204</v>
      </c>
      <c r="N73" s="5" t="s">
        <v>204</v>
      </c>
      <c r="O73" t="s">
        <v>204</v>
      </c>
      <c r="P73" t="s">
        <v>47</v>
      </c>
    </row>
    <row r="74" spans="1:16" x14ac:dyDescent="0.25">
      <c r="A74" t="s">
        <v>1584</v>
      </c>
      <c r="B74" t="str">
        <f t="shared" si="1"/>
        <v>PTC4001 - Avisos de segurança</v>
      </c>
      <c r="D74" t="s">
        <v>1462</v>
      </c>
      <c r="E74" t="s">
        <v>1466</v>
      </c>
      <c r="F74" s="14" t="s">
        <v>1472</v>
      </c>
      <c r="H74" t="s">
        <v>205</v>
      </c>
      <c r="I74" t="s">
        <v>205</v>
      </c>
      <c r="J74" t="s">
        <v>503</v>
      </c>
      <c r="K74" t="s">
        <v>205</v>
      </c>
      <c r="L74" t="s">
        <v>205</v>
      </c>
      <c r="M74" t="s">
        <v>503</v>
      </c>
      <c r="N74" t="s">
        <v>503</v>
      </c>
      <c r="O74" t="s">
        <v>1741</v>
      </c>
      <c r="P74" t="s">
        <v>48</v>
      </c>
    </row>
    <row r="75" spans="1:16" x14ac:dyDescent="0.25">
      <c r="A75" t="s">
        <v>1585</v>
      </c>
      <c r="B75" t="str">
        <f t="shared" si="1"/>
        <v>PTC4002 - Verificar o volume de fornecimento e executar a inspeção de entrega</v>
      </c>
      <c r="D75" t="s">
        <v>1462</v>
      </c>
      <c r="E75" t="s">
        <v>1466</v>
      </c>
      <c r="F75" s="14" t="s">
        <v>1473</v>
      </c>
      <c r="H75" t="s">
        <v>206</v>
      </c>
      <c r="I75" t="s">
        <v>206</v>
      </c>
      <c r="J75" t="s">
        <v>206</v>
      </c>
      <c r="K75" t="s">
        <v>206</v>
      </c>
      <c r="L75" t="s">
        <v>206</v>
      </c>
      <c r="M75" t="s">
        <v>206</v>
      </c>
      <c r="N75" t="s">
        <v>206</v>
      </c>
      <c r="O75" t="s">
        <v>1742</v>
      </c>
      <c r="P75" t="s">
        <v>49</v>
      </c>
    </row>
    <row r="76" spans="1:16" x14ac:dyDescent="0.25">
      <c r="A76" t="s">
        <v>1586</v>
      </c>
      <c r="B76" t="str">
        <f t="shared" si="1"/>
        <v>PTC4003 - Transporte</v>
      </c>
      <c r="D76" t="s">
        <v>1462</v>
      </c>
      <c r="E76" t="s">
        <v>1466</v>
      </c>
      <c r="F76" s="14" t="s">
        <v>1474</v>
      </c>
      <c r="H76" t="s">
        <v>207</v>
      </c>
      <c r="I76" t="s">
        <v>207</v>
      </c>
      <c r="J76" t="s">
        <v>329</v>
      </c>
      <c r="K76" t="s">
        <v>207</v>
      </c>
      <c r="L76" t="s">
        <v>207</v>
      </c>
      <c r="M76" t="s">
        <v>329</v>
      </c>
      <c r="N76" t="s">
        <v>329</v>
      </c>
      <c r="O76" t="s">
        <v>207</v>
      </c>
      <c r="P76" t="s">
        <v>50</v>
      </c>
    </row>
    <row r="77" spans="1:16" x14ac:dyDescent="0.25">
      <c r="A77" t="s">
        <v>1587</v>
      </c>
      <c r="B77" t="str">
        <f t="shared" si="1"/>
        <v>PTC4004 - Montar</v>
      </c>
      <c r="D77" t="s">
        <v>1462</v>
      </c>
      <c r="E77" t="s">
        <v>1466</v>
      </c>
      <c r="F77" s="14" t="s">
        <v>1475</v>
      </c>
      <c r="H77" t="s">
        <v>208</v>
      </c>
      <c r="I77" t="s">
        <v>208</v>
      </c>
      <c r="J77" t="s">
        <v>208</v>
      </c>
      <c r="K77" t="s">
        <v>208</v>
      </c>
      <c r="L77" t="s">
        <v>208</v>
      </c>
      <c r="M77" t="s">
        <v>208</v>
      </c>
      <c r="N77" t="s">
        <v>208</v>
      </c>
      <c r="O77" t="s">
        <v>1743</v>
      </c>
      <c r="P77" t="s">
        <v>51</v>
      </c>
    </row>
    <row r="78" spans="1:16" x14ac:dyDescent="0.25">
      <c r="A78" t="s">
        <v>1588</v>
      </c>
      <c r="B78" t="str">
        <f t="shared" si="1"/>
        <v>PTC4005 - Ligar</v>
      </c>
      <c r="D78" t="s">
        <v>1462</v>
      </c>
      <c r="E78" t="s">
        <v>1466</v>
      </c>
      <c r="F78" s="14" t="s">
        <v>1476</v>
      </c>
      <c r="H78" t="s">
        <v>209</v>
      </c>
      <c r="I78" t="s">
        <v>209</v>
      </c>
      <c r="J78" t="s">
        <v>209</v>
      </c>
      <c r="K78" t="s">
        <v>209</v>
      </c>
      <c r="L78" t="s">
        <v>209</v>
      </c>
      <c r="M78" t="s">
        <v>209</v>
      </c>
      <c r="N78" t="s">
        <v>209</v>
      </c>
      <c r="O78" t="s">
        <v>1744</v>
      </c>
      <c r="P78" t="s">
        <v>52</v>
      </c>
    </row>
    <row r="79" spans="1:16" x14ac:dyDescent="0.25">
      <c r="A79" t="s">
        <v>1589</v>
      </c>
      <c r="B79" t="str">
        <f t="shared" si="1"/>
        <v>PTC4006 - Colocar em funcionamento</v>
      </c>
      <c r="D79" t="s">
        <v>1462</v>
      </c>
      <c r="E79" t="s">
        <v>1466</v>
      </c>
      <c r="F79" s="14" t="s">
        <v>1477</v>
      </c>
      <c r="H79" t="s">
        <v>210</v>
      </c>
      <c r="I79" t="s">
        <v>210</v>
      </c>
      <c r="J79" t="s">
        <v>210</v>
      </c>
      <c r="K79" t="s">
        <v>210</v>
      </c>
      <c r="L79" t="s">
        <v>210</v>
      </c>
      <c r="M79" t="s">
        <v>210</v>
      </c>
      <c r="N79" t="s">
        <v>210</v>
      </c>
      <c r="O79" t="s">
        <v>1745</v>
      </c>
      <c r="P79" t="s">
        <v>53</v>
      </c>
    </row>
    <row r="80" spans="1:16" x14ac:dyDescent="0.25">
      <c r="A80" t="s">
        <v>1590</v>
      </c>
      <c r="B80" t="str">
        <f t="shared" si="1"/>
        <v>PTC4007 - Desligar</v>
      </c>
      <c r="D80" t="s">
        <v>1462</v>
      </c>
      <c r="E80" t="s">
        <v>1466</v>
      </c>
      <c r="F80" s="14" t="s">
        <v>1478</v>
      </c>
      <c r="H80" t="s">
        <v>211</v>
      </c>
      <c r="I80" t="s">
        <v>211</v>
      </c>
      <c r="J80" t="s">
        <v>504</v>
      </c>
      <c r="K80" t="s">
        <v>211</v>
      </c>
      <c r="L80" t="s">
        <v>211</v>
      </c>
      <c r="M80" t="s">
        <v>504</v>
      </c>
      <c r="N80" t="s">
        <v>504</v>
      </c>
      <c r="O80" t="s">
        <v>1746</v>
      </c>
      <c r="P80" t="s">
        <v>54</v>
      </c>
    </row>
    <row r="81" spans="1:16" x14ac:dyDescent="0.25">
      <c r="A81" t="s">
        <v>1591</v>
      </c>
      <c r="B81" t="str">
        <f t="shared" si="1"/>
        <v>PTC4008 - Armazenamento</v>
      </c>
      <c r="D81" t="s">
        <v>1462</v>
      </c>
      <c r="E81" t="s">
        <v>1466</v>
      </c>
      <c r="F81" s="14" t="s">
        <v>1479</v>
      </c>
      <c r="H81" t="s">
        <v>212</v>
      </c>
      <c r="I81" t="s">
        <v>212</v>
      </c>
      <c r="J81" t="s">
        <v>212</v>
      </c>
      <c r="K81" t="s">
        <v>212</v>
      </c>
      <c r="L81" t="s">
        <v>212</v>
      </c>
      <c r="M81" t="s">
        <v>212</v>
      </c>
      <c r="N81" t="s">
        <v>212</v>
      </c>
      <c r="O81" t="s">
        <v>212</v>
      </c>
      <c r="P81" t="s">
        <v>55</v>
      </c>
    </row>
    <row r="82" spans="1:16" x14ac:dyDescent="0.25">
      <c r="A82" t="s">
        <v>1592</v>
      </c>
      <c r="B82" t="str">
        <f t="shared" si="1"/>
        <v>PTC4009 - Descarte</v>
      </c>
      <c r="D82" t="s">
        <v>1462</v>
      </c>
      <c r="E82" t="s">
        <v>1466</v>
      </c>
      <c r="F82" s="14" t="s">
        <v>1480</v>
      </c>
      <c r="H82" t="s">
        <v>213</v>
      </c>
      <c r="I82" t="s">
        <v>213</v>
      </c>
      <c r="J82" t="s">
        <v>254</v>
      </c>
      <c r="K82" t="s">
        <v>213</v>
      </c>
      <c r="L82" t="s">
        <v>213</v>
      </c>
      <c r="M82" t="s">
        <v>254</v>
      </c>
      <c r="N82" t="s">
        <v>254</v>
      </c>
      <c r="O82" t="s">
        <v>1747</v>
      </c>
      <c r="P82" t="s">
        <v>56</v>
      </c>
    </row>
    <row r="83" spans="1:16" x14ac:dyDescent="0.25">
      <c r="A83" t="s">
        <v>1593</v>
      </c>
      <c r="B83" t="str">
        <f t="shared" si="1"/>
        <v>PTC5 - Operação</v>
      </c>
      <c r="D83" t="s">
        <v>1462</v>
      </c>
      <c r="E83" t="s">
        <v>1467</v>
      </c>
      <c r="H83" s="5" t="s">
        <v>214</v>
      </c>
      <c r="I83" s="5" t="s">
        <v>214</v>
      </c>
      <c r="J83" s="5" t="s">
        <v>214</v>
      </c>
      <c r="K83" s="5" t="s">
        <v>214</v>
      </c>
      <c r="L83" s="5" t="s">
        <v>214</v>
      </c>
      <c r="M83" s="5" t="s">
        <v>214</v>
      </c>
      <c r="N83" s="5" t="s">
        <v>214</v>
      </c>
      <c r="O83" t="s">
        <v>214</v>
      </c>
      <c r="P83" t="s">
        <v>57</v>
      </c>
    </row>
    <row r="84" spans="1:16" x14ac:dyDescent="0.25">
      <c r="A84" t="s">
        <v>1594</v>
      </c>
      <c r="B84" t="str">
        <f t="shared" si="1"/>
        <v>PTC5001 - Avisos de segurança</v>
      </c>
      <c r="D84" t="s">
        <v>1462</v>
      </c>
      <c r="E84" t="s">
        <v>1467</v>
      </c>
      <c r="F84" s="14" t="s">
        <v>1472</v>
      </c>
      <c r="H84" t="s">
        <v>205</v>
      </c>
      <c r="I84" t="s">
        <v>205</v>
      </c>
      <c r="J84" t="s">
        <v>503</v>
      </c>
      <c r="K84" t="s">
        <v>205</v>
      </c>
      <c r="L84" t="s">
        <v>205</v>
      </c>
      <c r="M84" t="s">
        <v>503</v>
      </c>
      <c r="N84" t="s">
        <v>503</v>
      </c>
      <c r="O84" t="s">
        <v>1741</v>
      </c>
      <c r="P84" t="s">
        <v>48</v>
      </c>
    </row>
    <row r="85" spans="1:16" x14ac:dyDescent="0.25">
      <c r="A85" t="s">
        <v>1595</v>
      </c>
      <c r="B85" t="str">
        <f t="shared" si="1"/>
        <v>PTC5002 - Dispositivos de proteção</v>
      </c>
      <c r="D85" t="s">
        <v>1462</v>
      </c>
      <c r="E85" t="s">
        <v>1467</v>
      </c>
      <c r="F85" s="14" t="s">
        <v>1473</v>
      </c>
      <c r="H85" t="s">
        <v>171</v>
      </c>
      <c r="I85" t="s">
        <v>171</v>
      </c>
      <c r="J85" t="s">
        <v>171</v>
      </c>
      <c r="K85" t="s">
        <v>171</v>
      </c>
      <c r="L85" t="s">
        <v>171</v>
      </c>
      <c r="M85" t="s">
        <v>171</v>
      </c>
      <c r="N85" t="s">
        <v>171</v>
      </c>
      <c r="O85" t="s">
        <v>1701</v>
      </c>
      <c r="P85" t="s">
        <v>17</v>
      </c>
    </row>
    <row r="86" spans="1:16" x14ac:dyDescent="0.25">
      <c r="A86" t="s">
        <v>1596</v>
      </c>
      <c r="B86" t="str">
        <f t="shared" si="1"/>
        <v>PTC5003 - Botão de parada de emergência</v>
      </c>
      <c r="D86" t="s">
        <v>1462</v>
      </c>
      <c r="E86" t="s">
        <v>1467</v>
      </c>
      <c r="F86" s="14" t="s">
        <v>1474</v>
      </c>
      <c r="H86" t="s">
        <v>215</v>
      </c>
      <c r="I86" t="s">
        <v>215</v>
      </c>
      <c r="J86" t="s">
        <v>505</v>
      </c>
      <c r="K86" t="s">
        <v>215</v>
      </c>
      <c r="L86" t="s">
        <v>215</v>
      </c>
      <c r="M86" t="s">
        <v>505</v>
      </c>
      <c r="N86" t="s">
        <v>505</v>
      </c>
      <c r="O86" t="s">
        <v>1748</v>
      </c>
      <c r="P86" t="s">
        <v>58</v>
      </c>
    </row>
    <row r="87" spans="1:16" x14ac:dyDescent="0.25">
      <c r="A87" t="s">
        <v>1597</v>
      </c>
      <c r="B87" t="str">
        <f t="shared" si="1"/>
        <v>PTC5004 - Dispositivos de aviso</v>
      </c>
      <c r="D87" t="s">
        <v>1462</v>
      </c>
      <c r="E87" t="s">
        <v>1467</v>
      </c>
      <c r="F87" s="14" t="s">
        <v>1475</v>
      </c>
      <c r="H87" t="s">
        <v>189</v>
      </c>
      <c r="I87" t="s">
        <v>189</v>
      </c>
      <c r="J87" t="s">
        <v>189</v>
      </c>
      <c r="K87" t="s">
        <v>189</v>
      </c>
      <c r="L87" t="s">
        <v>189</v>
      </c>
      <c r="M87" t="s">
        <v>189</v>
      </c>
      <c r="N87" t="s">
        <v>189</v>
      </c>
      <c r="O87" t="s">
        <v>1730</v>
      </c>
      <c r="P87" t="s">
        <v>38</v>
      </c>
    </row>
    <row r="88" spans="1:16" x14ac:dyDescent="0.25">
      <c r="A88" t="s">
        <v>1598</v>
      </c>
      <c r="B88" t="str">
        <f t="shared" si="1"/>
        <v>PTC5005 - Luzes de sinalização</v>
      </c>
      <c r="D88" t="s">
        <v>1462</v>
      </c>
      <c r="E88" t="s">
        <v>1467</v>
      </c>
      <c r="F88" s="14" t="s">
        <v>1476</v>
      </c>
      <c r="H88" t="s">
        <v>216</v>
      </c>
      <c r="I88" t="s">
        <v>216</v>
      </c>
      <c r="J88" t="s">
        <v>506</v>
      </c>
      <c r="K88" t="s">
        <v>216</v>
      </c>
      <c r="L88" t="s">
        <v>565</v>
      </c>
      <c r="M88" t="s">
        <v>506</v>
      </c>
      <c r="N88" t="s">
        <v>506</v>
      </c>
      <c r="O88" t="s">
        <v>1749</v>
      </c>
      <c r="P88" t="s">
        <v>59</v>
      </c>
    </row>
    <row r="89" spans="1:16" x14ac:dyDescent="0.25">
      <c r="A89" t="s">
        <v>1599</v>
      </c>
      <c r="B89" t="str">
        <f t="shared" si="1"/>
        <v>PTC5006 - Sirene de aviso</v>
      </c>
      <c r="D89" t="s">
        <v>1462</v>
      </c>
      <c r="E89" t="s">
        <v>1467</v>
      </c>
      <c r="F89" s="14" t="s">
        <v>1477</v>
      </c>
      <c r="H89" t="s">
        <v>217</v>
      </c>
      <c r="I89" t="s">
        <v>217</v>
      </c>
      <c r="J89" t="s">
        <v>507</v>
      </c>
      <c r="K89" t="s">
        <v>217</v>
      </c>
      <c r="L89" t="s">
        <v>217</v>
      </c>
      <c r="M89" t="s">
        <v>507</v>
      </c>
      <c r="N89" t="s">
        <v>507</v>
      </c>
      <c r="O89" t="s">
        <v>1750</v>
      </c>
      <c r="P89" t="s">
        <v>60</v>
      </c>
    </row>
    <row r="90" spans="1:16" x14ac:dyDescent="0.25">
      <c r="A90" t="s">
        <v>1600</v>
      </c>
      <c r="B90" t="str">
        <f t="shared" si="1"/>
        <v>PTC5007 - Dispositivos de comando</v>
      </c>
      <c r="D90" t="s">
        <v>1462</v>
      </c>
      <c r="E90" t="s">
        <v>1467</v>
      </c>
      <c r="F90" s="14" t="s">
        <v>1478</v>
      </c>
      <c r="H90" t="s">
        <v>190</v>
      </c>
      <c r="I90" t="s">
        <v>190</v>
      </c>
      <c r="J90" t="s">
        <v>190</v>
      </c>
      <c r="K90" t="s">
        <v>190</v>
      </c>
      <c r="L90" t="s">
        <v>190</v>
      </c>
      <c r="M90" t="s">
        <v>190</v>
      </c>
      <c r="N90" t="s">
        <v>190</v>
      </c>
      <c r="O90" t="s">
        <v>1731</v>
      </c>
      <c r="P90" t="s">
        <v>39</v>
      </c>
    </row>
    <row r="91" spans="1:16" x14ac:dyDescent="0.25">
      <c r="A91" s="15" t="s">
        <v>1841</v>
      </c>
      <c r="B91" s="15" t="str">
        <f t="shared" si="1"/>
        <v>PTC5008 - sistema de controlo de processo PlantiT</v>
      </c>
      <c r="D91" t="s">
        <v>1462</v>
      </c>
      <c r="E91" t="s">
        <v>1467</v>
      </c>
      <c r="F91" s="14" t="s">
        <v>1479</v>
      </c>
      <c r="O91" t="s">
        <v>1751</v>
      </c>
      <c r="P91" t="s">
        <v>1376</v>
      </c>
    </row>
    <row r="92" spans="1:16" x14ac:dyDescent="0.25">
      <c r="A92" s="15" t="s">
        <v>1842</v>
      </c>
      <c r="B92" s="15" t="str">
        <f t="shared" si="1"/>
        <v>PTC5009 - teclado</v>
      </c>
      <c r="D92" t="s">
        <v>1462</v>
      </c>
      <c r="E92" t="s">
        <v>1467</v>
      </c>
      <c r="F92" s="14" t="s">
        <v>1480</v>
      </c>
      <c r="O92" t="s">
        <v>1752</v>
      </c>
      <c r="P92" t="s">
        <v>62</v>
      </c>
    </row>
    <row r="93" spans="1:16" x14ac:dyDescent="0.25">
      <c r="A93" t="s">
        <v>1601</v>
      </c>
      <c r="B93" t="str">
        <f t="shared" si="1"/>
        <v>PTC5010 - Painel de controlo</v>
      </c>
      <c r="D93" t="s">
        <v>1462</v>
      </c>
      <c r="E93" t="s">
        <v>1467</v>
      </c>
      <c r="F93" s="14" t="s">
        <v>1481</v>
      </c>
      <c r="J93" t="s">
        <v>508</v>
      </c>
      <c r="O93" t="s">
        <v>1732</v>
      </c>
      <c r="P93" t="s">
        <v>61</v>
      </c>
    </row>
    <row r="94" spans="1:16" x14ac:dyDescent="0.25">
      <c r="A94" t="s">
        <v>1602</v>
      </c>
      <c r="B94" t="str">
        <f t="shared" si="1"/>
        <v>PTC5011 - Botões</v>
      </c>
      <c r="D94" t="s">
        <v>1462</v>
      </c>
      <c r="E94" t="s">
        <v>1467</v>
      </c>
      <c r="F94" s="14" t="s">
        <v>1482</v>
      </c>
      <c r="J94" t="s">
        <v>509</v>
      </c>
      <c r="O94" t="s">
        <v>1753</v>
      </c>
      <c r="P94" t="s">
        <v>509</v>
      </c>
    </row>
    <row r="95" spans="1:16" x14ac:dyDescent="0.25">
      <c r="A95" s="15" t="s">
        <v>1828</v>
      </c>
      <c r="B95" s="15" t="str">
        <f t="shared" si="1"/>
        <v>PTC5012 - [Redis] interruptor de chave</v>
      </c>
      <c r="D95" t="s">
        <v>1462</v>
      </c>
      <c r="E95" t="s">
        <v>1467</v>
      </c>
      <c r="F95" s="14" t="s">
        <v>1483</v>
      </c>
      <c r="O95" t="s">
        <v>1754</v>
      </c>
      <c r="P95" t="s">
        <v>144</v>
      </c>
    </row>
    <row r="96" spans="1:16" x14ac:dyDescent="0.25">
      <c r="A96" s="15" t="s">
        <v>1843</v>
      </c>
      <c r="B96" s="15" t="str">
        <f t="shared" si="1"/>
        <v>PTC5013 - teclado</v>
      </c>
      <c r="D96" t="s">
        <v>1462</v>
      </c>
      <c r="E96" t="s">
        <v>1467</v>
      </c>
      <c r="F96" s="14" t="s">
        <v>1484</v>
      </c>
      <c r="O96" t="s">
        <v>1752</v>
      </c>
      <c r="P96" t="s">
        <v>62</v>
      </c>
    </row>
    <row r="97" spans="1:16" x14ac:dyDescent="0.25">
      <c r="A97" t="s">
        <v>1603</v>
      </c>
      <c r="B97" t="str">
        <f t="shared" si="1"/>
        <v>PTC5014 - Interruptor principal</v>
      </c>
      <c r="D97" t="s">
        <v>1462</v>
      </c>
      <c r="E97" t="s">
        <v>1467</v>
      </c>
      <c r="F97" s="14" t="s">
        <v>1485</v>
      </c>
      <c r="H97" t="s">
        <v>218</v>
      </c>
      <c r="I97" t="s">
        <v>218</v>
      </c>
      <c r="J97" t="s">
        <v>218</v>
      </c>
      <c r="K97" t="s">
        <v>218</v>
      </c>
      <c r="L97" t="s">
        <v>218</v>
      </c>
      <c r="M97" t="s">
        <v>218</v>
      </c>
      <c r="N97" t="s">
        <v>218</v>
      </c>
      <c r="O97" t="s">
        <v>1755</v>
      </c>
      <c r="P97" t="s">
        <v>63</v>
      </c>
    </row>
    <row r="98" spans="1:16" x14ac:dyDescent="0.25">
      <c r="A98" t="s">
        <v>1604</v>
      </c>
      <c r="B98" t="str">
        <f t="shared" si="1"/>
        <v>PTC5015 - Válvulas de bloqueio manual</v>
      </c>
      <c r="D98" t="s">
        <v>1462</v>
      </c>
      <c r="E98" t="s">
        <v>1467</v>
      </c>
      <c r="F98" s="14" t="s">
        <v>1486</v>
      </c>
      <c r="H98" t="s">
        <v>219</v>
      </c>
      <c r="I98" t="s">
        <v>219</v>
      </c>
      <c r="J98" t="s">
        <v>219</v>
      </c>
      <c r="K98" t="s">
        <v>219</v>
      </c>
      <c r="L98" t="s">
        <v>219</v>
      </c>
      <c r="M98" t="s">
        <v>219</v>
      </c>
      <c r="N98" t="s">
        <v>219</v>
      </c>
      <c r="O98" t="s">
        <v>1756</v>
      </c>
      <c r="P98" t="s">
        <v>64</v>
      </c>
    </row>
    <row r="99" spans="1:16" x14ac:dyDescent="0.25">
      <c r="A99" t="s">
        <v>1605</v>
      </c>
      <c r="B99" t="str">
        <f t="shared" si="1"/>
        <v>PTC5016 - Distribuidor</v>
      </c>
      <c r="D99" t="s">
        <v>1462</v>
      </c>
      <c r="E99" t="s">
        <v>1467</v>
      </c>
      <c r="F99" s="14" t="s">
        <v>1487</v>
      </c>
      <c r="J99" t="s">
        <v>340</v>
      </c>
      <c r="O99" t="s">
        <v>340</v>
      </c>
      <c r="P99" t="s">
        <v>145</v>
      </c>
    </row>
    <row r="100" spans="1:16" x14ac:dyDescent="0.25">
      <c r="A100" s="15" t="s">
        <v>1844</v>
      </c>
      <c r="B100" s="15" t="str">
        <f t="shared" si="1"/>
        <v>PTC5017 - distribuidor CIP</v>
      </c>
      <c r="D100" t="s">
        <v>1462</v>
      </c>
      <c r="E100" t="s">
        <v>1467</v>
      </c>
      <c r="F100" s="14" t="s">
        <v>1488</v>
      </c>
      <c r="O100" t="s">
        <v>1757</v>
      </c>
      <c r="P100" t="s">
        <v>1434</v>
      </c>
    </row>
    <row r="101" spans="1:16" x14ac:dyDescent="0.25">
      <c r="A101" s="15" t="s">
        <v>1829</v>
      </c>
      <c r="B101" s="15" t="str">
        <f t="shared" si="1"/>
        <v>PTC5018 - Distribuidor na alimentação de mídia</v>
      </c>
      <c r="D101" t="s">
        <v>1462</v>
      </c>
      <c r="E101" t="s">
        <v>1467</v>
      </c>
      <c r="F101" s="14" t="s">
        <v>1489</v>
      </c>
      <c r="O101" t="s">
        <v>1758</v>
      </c>
      <c r="P101" t="s">
        <v>146</v>
      </c>
    </row>
    <row r="102" spans="1:16" x14ac:dyDescent="0.25">
      <c r="A102" t="s">
        <v>1606</v>
      </c>
      <c r="B102" t="str">
        <f t="shared" si="1"/>
        <v>PTC5019 - Seletor na limpeza dos camiões cisterna</v>
      </c>
      <c r="D102" t="s">
        <v>1462</v>
      </c>
      <c r="E102" t="s">
        <v>1467</v>
      </c>
      <c r="F102" s="14" t="s">
        <v>1490</v>
      </c>
      <c r="J102" t="s">
        <v>510</v>
      </c>
      <c r="O102" t="s">
        <v>1759</v>
      </c>
      <c r="P102" t="s">
        <v>510</v>
      </c>
    </row>
    <row r="103" spans="1:16" x14ac:dyDescent="0.25">
      <c r="A103" t="s">
        <v>1607</v>
      </c>
      <c r="B103" t="str">
        <f t="shared" si="1"/>
        <v>PTC5020 - Estabelecer prontidão operacional</v>
      </c>
      <c r="D103" t="s">
        <v>1462</v>
      </c>
      <c r="E103" t="s">
        <v>1467</v>
      </c>
      <c r="F103" s="14" t="s">
        <v>1491</v>
      </c>
      <c r="H103" t="s">
        <v>220</v>
      </c>
      <c r="I103" t="s">
        <v>220</v>
      </c>
      <c r="J103" t="s">
        <v>511</v>
      </c>
      <c r="K103" t="s">
        <v>220</v>
      </c>
      <c r="L103" t="s">
        <v>220</v>
      </c>
      <c r="M103" t="s">
        <v>1424</v>
      </c>
      <c r="N103" t="s">
        <v>1424</v>
      </c>
      <c r="O103" t="s">
        <v>1760</v>
      </c>
      <c r="P103" t="s">
        <v>65</v>
      </c>
    </row>
    <row r="104" spans="1:16" x14ac:dyDescent="0.25">
      <c r="A104" t="s">
        <v>1608</v>
      </c>
      <c r="B104" t="str">
        <f t="shared" si="1"/>
        <v>PTC5021 - Abrir e configurar a alimentação do ar controlado</v>
      </c>
      <c r="D104" t="s">
        <v>1462</v>
      </c>
      <c r="E104" t="s">
        <v>1467</v>
      </c>
      <c r="F104" s="14" t="s">
        <v>1492</v>
      </c>
      <c r="H104" t="s">
        <v>221</v>
      </c>
      <c r="I104" t="s">
        <v>221</v>
      </c>
      <c r="J104" t="s">
        <v>512</v>
      </c>
      <c r="K104" t="s">
        <v>221</v>
      </c>
      <c r="L104" t="s">
        <v>566</v>
      </c>
      <c r="M104" t="s">
        <v>512</v>
      </c>
      <c r="N104" t="s">
        <v>512</v>
      </c>
      <c r="O104" t="s">
        <v>1761</v>
      </c>
      <c r="P104" t="s">
        <v>66</v>
      </c>
    </row>
    <row r="105" spans="1:16" x14ac:dyDescent="0.25">
      <c r="A105" t="s">
        <v>1609</v>
      </c>
      <c r="B105" t="str">
        <f t="shared" si="1"/>
        <v>PTC5022 - Ligar a alimentação de tensão</v>
      </c>
      <c r="D105" t="s">
        <v>1462</v>
      </c>
      <c r="E105" t="s">
        <v>1467</v>
      </c>
      <c r="F105" s="14" t="s">
        <v>1493</v>
      </c>
      <c r="H105" t="s">
        <v>222</v>
      </c>
      <c r="I105" t="s">
        <v>222</v>
      </c>
      <c r="J105" t="s">
        <v>222</v>
      </c>
      <c r="K105" t="s">
        <v>222</v>
      </c>
      <c r="L105" t="s">
        <v>222</v>
      </c>
      <c r="M105" t="s">
        <v>222</v>
      </c>
      <c r="N105" t="s">
        <v>222</v>
      </c>
      <c r="O105" t="s">
        <v>1762</v>
      </c>
      <c r="P105" t="s">
        <v>67</v>
      </c>
    </row>
    <row r="106" spans="1:16" x14ac:dyDescent="0.25">
      <c r="A106" t="s">
        <v>1610</v>
      </c>
      <c r="B106" t="str">
        <f t="shared" si="1"/>
        <v>PTC5023 - Ligar tensão de comando</v>
      </c>
      <c r="D106" t="s">
        <v>1462</v>
      </c>
      <c r="E106" t="s">
        <v>1467</v>
      </c>
      <c r="F106" s="14" t="s">
        <v>1494</v>
      </c>
      <c r="H106" t="s">
        <v>223</v>
      </c>
      <c r="I106" t="s">
        <v>223</v>
      </c>
      <c r="J106" t="s">
        <v>513</v>
      </c>
      <c r="K106" t="s">
        <v>223</v>
      </c>
      <c r="L106" t="s">
        <v>223</v>
      </c>
      <c r="M106" t="s">
        <v>513</v>
      </c>
      <c r="N106" t="s">
        <v>513</v>
      </c>
      <c r="O106" t="s">
        <v>1763</v>
      </c>
      <c r="P106" t="s">
        <v>68</v>
      </c>
    </row>
    <row r="107" spans="1:16" x14ac:dyDescent="0.25">
      <c r="A107" s="15" t="s">
        <v>1845</v>
      </c>
      <c r="B107" s="15" t="str">
        <f t="shared" si="1"/>
        <v>PTC5024 - Ligar o gravador de dados</v>
      </c>
      <c r="D107" t="s">
        <v>1462</v>
      </c>
      <c r="E107" t="s">
        <v>1467</v>
      </c>
      <c r="F107" s="14" t="s">
        <v>1495</v>
      </c>
      <c r="O107" t="s">
        <v>1764</v>
      </c>
      <c r="P107" t="s">
        <v>69</v>
      </c>
    </row>
    <row r="108" spans="1:16" x14ac:dyDescent="0.25">
      <c r="A108" t="s">
        <v>1611</v>
      </c>
      <c r="B108" t="str">
        <f t="shared" si="1"/>
        <v>PTC5025 - Preparar a máquina</v>
      </c>
      <c r="D108" t="s">
        <v>1462</v>
      </c>
      <c r="E108" t="s">
        <v>1467</v>
      </c>
      <c r="F108" s="14" t="s">
        <v>1496</v>
      </c>
      <c r="H108" t="s">
        <v>224</v>
      </c>
      <c r="I108" t="s">
        <v>224</v>
      </c>
      <c r="J108" t="s">
        <v>514</v>
      </c>
      <c r="K108" t="s">
        <v>224</v>
      </c>
      <c r="L108" t="s">
        <v>224</v>
      </c>
      <c r="M108" t="s">
        <v>514</v>
      </c>
      <c r="N108" t="s">
        <v>514</v>
      </c>
      <c r="O108" t="s">
        <v>1765</v>
      </c>
      <c r="P108" t="s">
        <v>70</v>
      </c>
    </row>
    <row r="109" spans="1:16" x14ac:dyDescent="0.25">
      <c r="A109" t="s">
        <v>1612</v>
      </c>
      <c r="B109" t="str">
        <f t="shared" si="1"/>
        <v>PTC5026 - Limpeza de máquinas/sistemas externos</v>
      </c>
      <c r="D109" t="s">
        <v>1462</v>
      </c>
      <c r="E109" t="s">
        <v>1467</v>
      </c>
      <c r="F109" s="14" t="s">
        <v>1497</v>
      </c>
      <c r="N109" t="s">
        <v>515</v>
      </c>
      <c r="O109" t="s">
        <v>1766</v>
      </c>
      <c r="P109" t="s">
        <v>1453</v>
      </c>
    </row>
    <row r="110" spans="1:16" x14ac:dyDescent="0.25">
      <c r="A110" t="s">
        <v>1613</v>
      </c>
      <c r="B110" t="str">
        <f t="shared" si="1"/>
        <v>PTC5027 - Limpeza das máquinas/dos sistemas externos</v>
      </c>
      <c r="D110" t="s">
        <v>1462</v>
      </c>
      <c r="E110" t="s">
        <v>1467</v>
      </c>
      <c r="F110" s="14" t="s">
        <v>1498</v>
      </c>
      <c r="H110" t="s">
        <v>225</v>
      </c>
      <c r="I110" t="s">
        <v>225</v>
      </c>
      <c r="J110" t="s">
        <v>515</v>
      </c>
      <c r="K110" t="s">
        <v>225</v>
      </c>
      <c r="L110" t="s">
        <v>225</v>
      </c>
      <c r="M110" t="s">
        <v>515</v>
      </c>
      <c r="N110" t="s">
        <v>503</v>
      </c>
      <c r="O110" t="s">
        <v>1767</v>
      </c>
      <c r="P110" t="s">
        <v>71</v>
      </c>
    </row>
    <row r="111" spans="1:16" x14ac:dyDescent="0.25">
      <c r="A111" t="s">
        <v>1614</v>
      </c>
      <c r="B111" t="str">
        <f t="shared" si="1"/>
        <v>PTC5028 - Avisos de segurança</v>
      </c>
      <c r="D111" t="s">
        <v>1462</v>
      </c>
      <c r="E111" t="s">
        <v>1467</v>
      </c>
      <c r="F111" s="14" t="s">
        <v>1499</v>
      </c>
      <c r="H111" t="s">
        <v>205</v>
      </c>
      <c r="I111" t="s">
        <v>205</v>
      </c>
      <c r="J111" t="s">
        <v>503</v>
      </c>
      <c r="K111" t="s">
        <v>205</v>
      </c>
      <c r="L111" t="s">
        <v>205</v>
      </c>
      <c r="M111" t="s">
        <v>503</v>
      </c>
      <c r="O111" t="s">
        <v>1741</v>
      </c>
      <c r="P111" t="s">
        <v>48</v>
      </c>
    </row>
    <row r="112" spans="1:16" x14ac:dyDescent="0.25">
      <c r="A112" t="s">
        <v>1615</v>
      </c>
      <c r="B112" t="str">
        <f t="shared" si="1"/>
        <v>PTC5029 - Lista de pequenas intervenções</v>
      </c>
      <c r="D112" t="s">
        <v>1462</v>
      </c>
      <c r="E112" t="s">
        <v>1467</v>
      </c>
      <c r="F112" s="14" t="s">
        <v>1500</v>
      </c>
      <c r="L112" t="s">
        <v>567</v>
      </c>
      <c r="O112" t="s">
        <v>1768</v>
      </c>
      <c r="P112" t="s">
        <v>567</v>
      </c>
    </row>
    <row r="113" spans="1:16" x14ac:dyDescent="0.25">
      <c r="A113" t="s">
        <v>1616</v>
      </c>
      <c r="B113" t="str">
        <f t="shared" si="1"/>
        <v>PTC5030 - Requisitos</v>
      </c>
      <c r="D113" t="s">
        <v>1462</v>
      </c>
      <c r="E113" t="s">
        <v>1467</v>
      </c>
      <c r="F113" s="14" t="s">
        <v>1501</v>
      </c>
      <c r="H113" t="s">
        <v>226</v>
      </c>
      <c r="I113" t="s">
        <v>226</v>
      </c>
      <c r="J113" t="s">
        <v>243</v>
      </c>
      <c r="K113" t="s">
        <v>226</v>
      </c>
      <c r="L113" t="s">
        <v>226</v>
      </c>
      <c r="M113" t="s">
        <v>243</v>
      </c>
      <c r="N113" t="s">
        <v>243</v>
      </c>
      <c r="O113" t="s">
        <v>1769</v>
      </c>
      <c r="P113" t="s">
        <v>72</v>
      </c>
    </row>
    <row r="114" spans="1:16" x14ac:dyDescent="0.25">
      <c r="A114" t="s">
        <v>1617</v>
      </c>
      <c r="B114" t="str">
        <f t="shared" si="1"/>
        <v>PTC5031 - Preparar</v>
      </c>
      <c r="D114" t="s">
        <v>1462</v>
      </c>
      <c r="E114" t="s">
        <v>1467</v>
      </c>
      <c r="F114" s="14" t="s">
        <v>1502</v>
      </c>
      <c r="H114" t="s">
        <v>227</v>
      </c>
      <c r="I114" t="s">
        <v>227</v>
      </c>
      <c r="J114" t="s">
        <v>227</v>
      </c>
      <c r="K114" t="s">
        <v>227</v>
      </c>
      <c r="L114" t="s">
        <v>227</v>
      </c>
      <c r="M114" t="s">
        <v>227</v>
      </c>
      <c r="N114" t="s">
        <v>227</v>
      </c>
      <c r="O114" t="s">
        <v>1770</v>
      </c>
      <c r="P114" t="s">
        <v>73</v>
      </c>
    </row>
    <row r="115" spans="1:16" x14ac:dyDescent="0.25">
      <c r="A115" t="s">
        <v>1618</v>
      </c>
      <c r="B115" t="str">
        <f t="shared" si="1"/>
        <v>PTC5032 - Executar</v>
      </c>
      <c r="D115" t="s">
        <v>1462</v>
      </c>
      <c r="E115" t="s">
        <v>1467</v>
      </c>
      <c r="F115" s="14" t="s">
        <v>1503</v>
      </c>
      <c r="H115" t="s">
        <v>228</v>
      </c>
      <c r="I115" t="s">
        <v>228</v>
      </c>
      <c r="J115" t="s">
        <v>228</v>
      </c>
      <c r="K115" t="s">
        <v>228</v>
      </c>
      <c r="L115" t="s">
        <v>228</v>
      </c>
      <c r="M115" t="s">
        <v>228</v>
      </c>
      <c r="N115" t="s">
        <v>228</v>
      </c>
      <c r="O115" t="s">
        <v>1771</v>
      </c>
      <c r="P115" t="s">
        <v>74</v>
      </c>
    </row>
    <row r="116" spans="1:16" x14ac:dyDescent="0.25">
      <c r="A116" t="s">
        <v>1619</v>
      </c>
      <c r="B116" t="str">
        <f t="shared" si="1"/>
        <v>PTC5033 - Encerrar</v>
      </c>
      <c r="D116" t="s">
        <v>1462</v>
      </c>
      <c r="E116" t="s">
        <v>1467</v>
      </c>
      <c r="F116" s="14" t="s">
        <v>1504</v>
      </c>
      <c r="H116" t="s">
        <v>229</v>
      </c>
      <c r="I116" t="s">
        <v>229</v>
      </c>
      <c r="J116" t="s">
        <v>516</v>
      </c>
      <c r="K116" t="s">
        <v>229</v>
      </c>
      <c r="L116" t="s">
        <v>229</v>
      </c>
      <c r="M116" t="s">
        <v>516</v>
      </c>
      <c r="N116" t="s">
        <v>516</v>
      </c>
      <c r="O116" t="s">
        <v>1772</v>
      </c>
      <c r="P116" t="s">
        <v>75</v>
      </c>
    </row>
    <row r="117" spans="1:16" x14ac:dyDescent="0.25">
      <c r="A117" t="s">
        <v>1620</v>
      </c>
      <c r="B117" t="str">
        <f t="shared" si="1"/>
        <v>PTC5034 - Efetuar o enxágue com água quente</v>
      </c>
      <c r="D117" t="s">
        <v>1462</v>
      </c>
      <c r="E117" t="s">
        <v>1467</v>
      </c>
      <c r="F117" s="14" t="s">
        <v>1505</v>
      </c>
      <c r="L117" t="s">
        <v>568</v>
      </c>
      <c r="O117" t="s">
        <v>444</v>
      </c>
      <c r="P117" t="s">
        <v>444</v>
      </c>
    </row>
    <row r="118" spans="1:16" x14ac:dyDescent="0.25">
      <c r="A118" t="s">
        <v>1621</v>
      </c>
      <c r="B118" t="str">
        <f t="shared" si="1"/>
        <v>PTC5035 - Limpeza do sistema CIP</v>
      </c>
      <c r="D118" t="s">
        <v>1462</v>
      </c>
      <c r="E118" t="s">
        <v>1467</v>
      </c>
      <c r="F118" s="14" t="s">
        <v>1506</v>
      </c>
      <c r="H118" t="s">
        <v>230</v>
      </c>
      <c r="I118" t="s">
        <v>230</v>
      </c>
      <c r="J118" t="s">
        <v>230</v>
      </c>
      <c r="K118" t="s">
        <v>230</v>
      </c>
      <c r="L118" t="s">
        <v>230</v>
      </c>
      <c r="M118" t="s">
        <v>230</v>
      </c>
      <c r="N118" t="s">
        <v>230</v>
      </c>
      <c r="O118" t="s">
        <v>230</v>
      </c>
      <c r="P118" t="s">
        <v>76</v>
      </c>
    </row>
    <row r="119" spans="1:16" x14ac:dyDescent="0.25">
      <c r="A119" t="s">
        <v>1622</v>
      </c>
      <c r="B119" t="str">
        <f t="shared" si="1"/>
        <v>PTC5036 - Avisos de segurança</v>
      </c>
      <c r="D119" t="s">
        <v>1462</v>
      </c>
      <c r="E119" t="s">
        <v>1467</v>
      </c>
      <c r="F119" s="14" t="s">
        <v>1507</v>
      </c>
      <c r="H119" t="s">
        <v>205</v>
      </c>
      <c r="I119" t="s">
        <v>205</v>
      </c>
      <c r="J119" t="s">
        <v>503</v>
      </c>
      <c r="K119" t="s">
        <v>205</v>
      </c>
      <c r="L119" t="s">
        <v>205</v>
      </c>
      <c r="M119" t="s">
        <v>503</v>
      </c>
      <c r="N119" t="s">
        <v>503</v>
      </c>
      <c r="O119" t="s">
        <v>1741</v>
      </c>
      <c r="P119" t="s">
        <v>48</v>
      </c>
    </row>
    <row r="120" spans="1:16" x14ac:dyDescent="0.25">
      <c r="A120" t="s">
        <v>1623</v>
      </c>
      <c r="B120" t="str">
        <f t="shared" si="1"/>
        <v>PTC5037 - Requisitos</v>
      </c>
      <c r="D120" t="s">
        <v>1462</v>
      </c>
      <c r="E120" t="s">
        <v>1467</v>
      </c>
      <c r="F120" s="14" t="s">
        <v>1508</v>
      </c>
      <c r="H120" t="s">
        <v>226</v>
      </c>
      <c r="I120" t="s">
        <v>226</v>
      </c>
      <c r="J120" t="s">
        <v>243</v>
      </c>
      <c r="K120" t="s">
        <v>226</v>
      </c>
      <c r="L120" t="s">
        <v>226</v>
      </c>
      <c r="M120" t="s">
        <v>243</v>
      </c>
      <c r="N120" t="s">
        <v>243</v>
      </c>
      <c r="O120" t="s">
        <v>1769</v>
      </c>
      <c r="P120" t="s">
        <v>72</v>
      </c>
    </row>
    <row r="121" spans="1:16" x14ac:dyDescent="0.25">
      <c r="A121" t="s">
        <v>1624</v>
      </c>
      <c r="B121" t="str">
        <f t="shared" si="1"/>
        <v>PTC5038 - Preparar</v>
      </c>
      <c r="D121" t="s">
        <v>1462</v>
      </c>
      <c r="E121" t="s">
        <v>1467</v>
      </c>
      <c r="F121" s="14" t="s">
        <v>1509</v>
      </c>
      <c r="H121" t="s">
        <v>227</v>
      </c>
      <c r="I121" t="s">
        <v>227</v>
      </c>
      <c r="J121" t="s">
        <v>227</v>
      </c>
      <c r="K121" t="s">
        <v>227</v>
      </c>
      <c r="L121" t="s">
        <v>227</v>
      </c>
      <c r="M121" t="s">
        <v>227</v>
      </c>
      <c r="N121" t="s">
        <v>227</v>
      </c>
      <c r="O121" t="s">
        <v>1770</v>
      </c>
      <c r="P121" t="s">
        <v>73</v>
      </c>
    </row>
    <row r="122" spans="1:16" x14ac:dyDescent="0.25">
      <c r="A122" t="s">
        <v>1625</v>
      </c>
      <c r="B122" t="str">
        <f t="shared" si="1"/>
        <v>PTC5039 - Executar</v>
      </c>
      <c r="D122" t="s">
        <v>1462</v>
      </c>
      <c r="E122" t="s">
        <v>1467</v>
      </c>
      <c r="F122" s="14" t="s">
        <v>1510</v>
      </c>
      <c r="H122" t="s">
        <v>228</v>
      </c>
      <c r="I122" t="s">
        <v>228</v>
      </c>
      <c r="J122" t="s">
        <v>228</v>
      </c>
      <c r="K122" t="s">
        <v>228</v>
      </c>
      <c r="L122" t="s">
        <v>228</v>
      </c>
      <c r="M122" t="s">
        <v>228</v>
      </c>
      <c r="N122" t="s">
        <v>228</v>
      </c>
      <c r="O122" t="s">
        <v>1771</v>
      </c>
      <c r="P122" t="s">
        <v>74</v>
      </c>
    </row>
    <row r="123" spans="1:16" x14ac:dyDescent="0.25">
      <c r="A123" t="s">
        <v>1626</v>
      </c>
      <c r="B123" t="str">
        <f t="shared" si="1"/>
        <v>PTC5040 - Encerrar</v>
      </c>
      <c r="D123" t="s">
        <v>1462</v>
      </c>
      <c r="E123" t="s">
        <v>1467</v>
      </c>
      <c r="F123" s="14" t="s">
        <v>1511</v>
      </c>
      <c r="H123" t="s">
        <v>229</v>
      </c>
      <c r="I123" t="s">
        <v>229</v>
      </c>
      <c r="J123" t="s">
        <v>516</v>
      </c>
      <c r="K123" t="s">
        <v>229</v>
      </c>
      <c r="L123" t="s">
        <v>229</v>
      </c>
      <c r="M123" t="s">
        <v>516</v>
      </c>
      <c r="N123" t="s">
        <v>516</v>
      </c>
      <c r="O123" t="s">
        <v>1772</v>
      </c>
      <c r="P123" t="s">
        <v>75</v>
      </c>
    </row>
    <row r="124" spans="1:16" x14ac:dyDescent="0.25">
      <c r="A124" s="15" t="s">
        <v>1846</v>
      </c>
      <c r="B124" s="15" t="str">
        <f t="shared" si="1"/>
        <v>PTC5041 - Prepare el distribuidor para la siguiente producción</v>
      </c>
      <c r="D124" t="s">
        <v>1462</v>
      </c>
      <c r="E124" t="s">
        <v>1467</v>
      </c>
      <c r="F124" s="14" t="s">
        <v>1512</v>
      </c>
      <c r="O124" t="s">
        <v>446</v>
      </c>
      <c r="P124" t="s">
        <v>446</v>
      </c>
    </row>
    <row r="125" spans="1:16" x14ac:dyDescent="0.25">
      <c r="A125" s="15" t="s">
        <v>1847</v>
      </c>
      <c r="B125" s="15" t="str">
        <f t="shared" si="1"/>
        <v>PTC5042 - Distribuidor em CR70 circuito detergente</v>
      </c>
      <c r="D125" t="s">
        <v>1462</v>
      </c>
      <c r="E125" t="s">
        <v>1467</v>
      </c>
      <c r="F125" s="14" t="s">
        <v>1513</v>
      </c>
      <c r="O125" t="s">
        <v>1773</v>
      </c>
      <c r="P125" t="s">
        <v>1440</v>
      </c>
    </row>
    <row r="126" spans="1:16" x14ac:dyDescent="0.25">
      <c r="A126" s="15" t="s">
        <v>1848</v>
      </c>
      <c r="B126" s="15" t="str">
        <f t="shared" si="1"/>
        <v>PTC5043 - Distribuidor em CR69 circuito detergente</v>
      </c>
      <c r="D126" t="s">
        <v>1462</v>
      </c>
      <c r="E126" t="s">
        <v>1467</v>
      </c>
      <c r="F126" s="14" t="s">
        <v>1514</v>
      </c>
      <c r="O126" t="s">
        <v>1774</v>
      </c>
      <c r="P126" t="s">
        <v>1441</v>
      </c>
    </row>
    <row r="127" spans="1:16" x14ac:dyDescent="0.25">
      <c r="A127" t="s">
        <v>1627</v>
      </c>
      <c r="B127" t="str">
        <f t="shared" si="1"/>
        <v>PTC5044 - Cancelar prontidão operacional</v>
      </c>
      <c r="D127" t="s">
        <v>1462</v>
      </c>
      <c r="E127" t="s">
        <v>1467</v>
      </c>
      <c r="F127" s="14" t="s">
        <v>1515</v>
      </c>
      <c r="H127" t="s">
        <v>231</v>
      </c>
      <c r="I127" t="s">
        <v>231</v>
      </c>
      <c r="J127" t="s">
        <v>517</v>
      </c>
      <c r="K127" t="s">
        <v>231</v>
      </c>
      <c r="L127" t="s">
        <v>231</v>
      </c>
      <c r="M127" t="s">
        <v>1425</v>
      </c>
      <c r="N127" t="s">
        <v>1425</v>
      </c>
      <c r="O127" t="s">
        <v>1775</v>
      </c>
      <c r="P127" t="s">
        <v>77</v>
      </c>
    </row>
    <row r="128" spans="1:16" x14ac:dyDescent="0.25">
      <c r="A128" s="15" t="s">
        <v>1830</v>
      </c>
      <c r="B128" s="15" t="str">
        <f t="shared" si="1"/>
        <v>PTC5045 - Fechando o sistema de limpeza</v>
      </c>
      <c r="D128" t="s">
        <v>1462</v>
      </c>
      <c r="E128" t="s">
        <v>1467</v>
      </c>
      <c r="F128" s="14" t="s">
        <v>1516</v>
      </c>
      <c r="O128" t="s">
        <v>1776</v>
      </c>
      <c r="P128" t="s">
        <v>1455</v>
      </c>
    </row>
    <row r="129" spans="1:16" x14ac:dyDescent="0.25">
      <c r="A129" s="15" t="s">
        <v>1831</v>
      </c>
      <c r="B129" s="15" t="str">
        <f t="shared" si="1"/>
        <v>PTC5046 - Fechando a medição de consumo</v>
      </c>
      <c r="D129" t="s">
        <v>1462</v>
      </c>
      <c r="E129" t="s">
        <v>1467</v>
      </c>
      <c r="F129" s="14" t="s">
        <v>1517</v>
      </c>
      <c r="O129" t="s">
        <v>1777</v>
      </c>
      <c r="P129" t="s">
        <v>1456</v>
      </c>
    </row>
    <row r="130" spans="1:16" x14ac:dyDescent="0.25">
      <c r="A130" t="s">
        <v>1628</v>
      </c>
      <c r="B130" t="str">
        <f t="shared" si="1"/>
        <v>PTC5047 - Processar posteriormente a máquina</v>
      </c>
      <c r="D130" t="s">
        <v>1462</v>
      </c>
      <c r="E130" t="s">
        <v>1467</v>
      </c>
      <c r="F130" s="14" t="s">
        <v>1518</v>
      </c>
      <c r="H130" t="s">
        <v>232</v>
      </c>
      <c r="I130" t="s">
        <v>232</v>
      </c>
      <c r="J130" t="s">
        <v>518</v>
      </c>
      <c r="K130" t="s">
        <v>232</v>
      </c>
      <c r="L130" t="s">
        <v>232</v>
      </c>
      <c r="M130" t="s">
        <v>518</v>
      </c>
      <c r="N130" t="s">
        <v>518</v>
      </c>
      <c r="O130" t="s">
        <v>1778</v>
      </c>
      <c r="P130" t="s">
        <v>78</v>
      </c>
    </row>
    <row r="131" spans="1:16" x14ac:dyDescent="0.25">
      <c r="A131" s="15" t="s">
        <v>1849</v>
      </c>
      <c r="B131" s="15" t="str">
        <f t="shared" ref="B131:B194" si="2">IF(H131="",IF(I131="",IF(J131="",IF(K131="",IF(L131="",IF(M131="",IF(N131="",IF(O131="","",_xlfn.CONCAT(D131,E131,F131," - ",O131)),_xlfn.CONCAT(D131,E131,F131," - ",N131)),_xlfn.CONCAT(D131,E131,F131," - ",M131)),_xlfn.CONCAT(D131,E131,F131," - ",L131)),_xlfn.CONCAT(D131,E131,F131," - ",K131)),_xlfn.CONCAT(D131,E131,F131," - ",J131)),_xlfn.CONCAT(D131,E131,F131," - ",I131)),_xlfn.CONCAT(D131,E131,F131," - ",H131))</f>
        <v>PTC5048 - Desligar o gravador de dados</v>
      </c>
      <c r="D131" t="s">
        <v>1462</v>
      </c>
      <c r="E131" t="s">
        <v>1467</v>
      </c>
      <c r="F131" s="14" t="s">
        <v>1519</v>
      </c>
      <c r="O131" t="s">
        <v>1779</v>
      </c>
      <c r="P131" t="s">
        <v>79</v>
      </c>
    </row>
    <row r="132" spans="1:16" x14ac:dyDescent="0.25">
      <c r="A132" t="s">
        <v>1629</v>
      </c>
      <c r="B132" t="str">
        <f t="shared" si="2"/>
        <v>PTC5049 - Desligar a tensão de comando</v>
      </c>
      <c r="D132" t="s">
        <v>1462</v>
      </c>
      <c r="E132" t="s">
        <v>1467</v>
      </c>
      <c r="F132" s="14" t="s">
        <v>1520</v>
      </c>
      <c r="H132" t="s">
        <v>233</v>
      </c>
      <c r="I132" t="s">
        <v>233</v>
      </c>
      <c r="J132" t="s">
        <v>519</v>
      </c>
      <c r="K132" t="s">
        <v>233</v>
      </c>
      <c r="L132" t="s">
        <v>233</v>
      </c>
      <c r="M132" t="s">
        <v>519</v>
      </c>
      <c r="N132" t="s">
        <v>519</v>
      </c>
      <c r="O132" t="s">
        <v>1780</v>
      </c>
      <c r="P132" t="s">
        <v>80</v>
      </c>
    </row>
    <row r="133" spans="1:16" x14ac:dyDescent="0.25">
      <c r="A133" t="s">
        <v>1630</v>
      </c>
      <c r="B133" t="str">
        <f t="shared" si="2"/>
        <v>PTC5050 - Desligar a alimentação de tensão</v>
      </c>
      <c r="D133" t="s">
        <v>1462</v>
      </c>
      <c r="E133" t="s">
        <v>1467</v>
      </c>
      <c r="F133" s="14" t="s">
        <v>1521</v>
      </c>
      <c r="H133" t="s">
        <v>234</v>
      </c>
      <c r="I133" t="s">
        <v>234</v>
      </c>
      <c r="J133" t="s">
        <v>234</v>
      </c>
      <c r="K133" t="s">
        <v>234</v>
      </c>
      <c r="L133" t="s">
        <v>234</v>
      </c>
      <c r="M133" t="s">
        <v>234</v>
      </c>
      <c r="N133" t="s">
        <v>234</v>
      </c>
      <c r="O133" t="s">
        <v>1781</v>
      </c>
      <c r="P133" t="s">
        <v>81</v>
      </c>
    </row>
    <row r="134" spans="1:16" x14ac:dyDescent="0.25">
      <c r="A134" t="s">
        <v>1631</v>
      </c>
      <c r="B134" t="str">
        <f t="shared" si="2"/>
        <v>PTC5051 - Fechar a alimentação de ar de controle</v>
      </c>
      <c r="D134" t="s">
        <v>1462</v>
      </c>
      <c r="E134" t="s">
        <v>1467</v>
      </c>
      <c r="F134" s="14" t="s">
        <v>1522</v>
      </c>
      <c r="H134" t="s">
        <v>235</v>
      </c>
      <c r="I134" t="s">
        <v>235</v>
      </c>
      <c r="J134" t="s">
        <v>520</v>
      </c>
      <c r="K134" t="s">
        <v>235</v>
      </c>
      <c r="L134" t="s">
        <v>569</v>
      </c>
      <c r="M134" t="s">
        <v>1426</v>
      </c>
      <c r="N134" t="s">
        <v>1426</v>
      </c>
      <c r="O134" t="s">
        <v>1782</v>
      </c>
      <c r="P134" t="s">
        <v>82</v>
      </c>
    </row>
    <row r="135" spans="1:16" x14ac:dyDescent="0.25">
      <c r="A135" t="s">
        <v>1632</v>
      </c>
      <c r="B135" t="str">
        <f t="shared" si="2"/>
        <v>PTC6 - Manutenção</v>
      </c>
      <c r="D135" t="s">
        <v>1462</v>
      </c>
      <c r="E135" t="s">
        <v>1468</v>
      </c>
      <c r="H135" s="5" t="s">
        <v>236</v>
      </c>
      <c r="I135" s="5" t="s">
        <v>236</v>
      </c>
      <c r="J135" s="5" t="s">
        <v>521</v>
      </c>
      <c r="K135" s="5" t="s">
        <v>236</v>
      </c>
      <c r="L135" s="5" t="s">
        <v>236</v>
      </c>
      <c r="M135" s="5" t="s">
        <v>521</v>
      </c>
      <c r="N135" s="5" t="s">
        <v>521</v>
      </c>
      <c r="O135" t="s">
        <v>1783</v>
      </c>
      <c r="P135" t="s">
        <v>83</v>
      </c>
    </row>
    <row r="136" spans="1:16" x14ac:dyDescent="0.25">
      <c r="A136" t="s">
        <v>1633</v>
      </c>
      <c r="B136" t="str">
        <f t="shared" si="2"/>
        <v>PTC6001 - Observar as normas</v>
      </c>
      <c r="D136" t="s">
        <v>1462</v>
      </c>
      <c r="E136" t="s">
        <v>1468</v>
      </c>
      <c r="F136" s="14" t="s">
        <v>1472</v>
      </c>
      <c r="H136" t="s">
        <v>237</v>
      </c>
      <c r="I136" t="s">
        <v>237</v>
      </c>
      <c r="J136" t="s">
        <v>237</v>
      </c>
      <c r="K136" t="s">
        <v>237</v>
      </c>
      <c r="L136" t="s">
        <v>237</v>
      </c>
      <c r="M136" t="s">
        <v>237</v>
      </c>
      <c r="N136" t="s">
        <v>237</v>
      </c>
      <c r="O136" t="s">
        <v>1784</v>
      </c>
      <c r="P136" t="s">
        <v>84</v>
      </c>
    </row>
    <row r="137" spans="1:16" x14ac:dyDescent="0.25">
      <c r="A137" t="s">
        <v>1634</v>
      </c>
      <c r="B137" t="str">
        <f t="shared" si="2"/>
        <v>PTC6002 - Desconectar e proteger</v>
      </c>
      <c r="D137" t="s">
        <v>1462</v>
      </c>
      <c r="E137" t="s">
        <v>1468</v>
      </c>
      <c r="F137" s="14" t="s">
        <v>1473</v>
      </c>
      <c r="H137" t="s">
        <v>238</v>
      </c>
      <c r="I137" t="s">
        <v>549</v>
      </c>
      <c r="J137" t="s">
        <v>522</v>
      </c>
      <c r="K137" t="s">
        <v>549</v>
      </c>
      <c r="L137" t="s">
        <v>549</v>
      </c>
      <c r="M137" t="s">
        <v>1427</v>
      </c>
      <c r="N137" t="s">
        <v>1427</v>
      </c>
      <c r="O137" t="s">
        <v>1785</v>
      </c>
      <c r="P137" t="s">
        <v>85</v>
      </c>
    </row>
    <row r="138" spans="1:16" x14ac:dyDescent="0.25">
      <c r="A138" t="s">
        <v>1635</v>
      </c>
      <c r="B138" t="str">
        <f t="shared" si="2"/>
        <v>PTC6003 - Esvaziar máquina</v>
      </c>
      <c r="D138" t="s">
        <v>1462</v>
      </c>
      <c r="E138" t="s">
        <v>1468</v>
      </c>
      <c r="F138" s="14" t="s">
        <v>1474</v>
      </c>
      <c r="H138" t="s">
        <v>239</v>
      </c>
      <c r="I138" t="s">
        <v>523</v>
      </c>
      <c r="J138" t="s">
        <v>523</v>
      </c>
      <c r="K138" t="s">
        <v>523</v>
      </c>
      <c r="L138" t="s">
        <v>570</v>
      </c>
      <c r="M138" t="s">
        <v>523</v>
      </c>
      <c r="N138" t="s">
        <v>523</v>
      </c>
      <c r="O138" t="s">
        <v>1786</v>
      </c>
      <c r="P138" t="s">
        <v>86</v>
      </c>
    </row>
    <row r="139" spans="1:16" x14ac:dyDescent="0.25">
      <c r="A139" s="15" t="s">
        <v>1850</v>
      </c>
      <c r="B139" s="15" t="str">
        <f t="shared" si="2"/>
        <v>PTC6004 - Esvaziamento áreas seguras</v>
      </c>
      <c r="D139" t="s">
        <v>1462</v>
      </c>
      <c r="E139" t="s">
        <v>1468</v>
      </c>
      <c r="F139" s="14" t="s">
        <v>1475</v>
      </c>
      <c r="O139" t="s">
        <v>1787</v>
      </c>
      <c r="P139" t="s">
        <v>1378</v>
      </c>
    </row>
    <row r="140" spans="1:16" x14ac:dyDescent="0.25">
      <c r="A140" t="s">
        <v>1636</v>
      </c>
      <c r="B140" t="str">
        <f t="shared" si="2"/>
        <v>PTC6005 - Encher a máquina com água</v>
      </c>
      <c r="D140" t="s">
        <v>1462</v>
      </c>
      <c r="E140" t="s">
        <v>1468</v>
      </c>
      <c r="F140" s="14" t="s">
        <v>1476</v>
      </c>
      <c r="H140" t="s">
        <v>240</v>
      </c>
      <c r="I140" t="s">
        <v>240</v>
      </c>
      <c r="J140" t="s">
        <v>524</v>
      </c>
      <c r="K140" t="s">
        <v>240</v>
      </c>
      <c r="L140" t="s">
        <v>240</v>
      </c>
      <c r="M140" t="s">
        <v>524</v>
      </c>
      <c r="N140" t="s">
        <v>524</v>
      </c>
      <c r="O140" t="s">
        <v>240</v>
      </c>
      <c r="P140" t="s">
        <v>87</v>
      </c>
    </row>
    <row r="141" spans="1:16" x14ac:dyDescent="0.25">
      <c r="A141" t="s">
        <v>1637</v>
      </c>
      <c r="B141" t="str">
        <f t="shared" si="2"/>
        <v>PTC6006 - Manutenção preventiva</v>
      </c>
      <c r="D141" t="s">
        <v>1462</v>
      </c>
      <c r="E141" t="s">
        <v>1468</v>
      </c>
      <c r="F141" s="14" t="s">
        <v>1477</v>
      </c>
      <c r="H141" t="s">
        <v>241</v>
      </c>
      <c r="I141" t="s">
        <v>241</v>
      </c>
      <c r="J141" t="s">
        <v>236</v>
      </c>
      <c r="K141" t="s">
        <v>241</v>
      </c>
      <c r="L141" t="s">
        <v>241</v>
      </c>
      <c r="M141" t="s">
        <v>236</v>
      </c>
      <c r="N141" t="s">
        <v>236</v>
      </c>
      <c r="O141" t="s">
        <v>236</v>
      </c>
      <c r="P141" t="s">
        <v>88</v>
      </c>
    </row>
    <row r="142" spans="1:16" x14ac:dyDescent="0.25">
      <c r="A142" t="s">
        <v>1638</v>
      </c>
      <c r="B142" t="str">
        <f t="shared" si="2"/>
        <v>PTC6007 - Avisos de segurança</v>
      </c>
      <c r="D142" t="s">
        <v>1462</v>
      </c>
      <c r="E142" t="s">
        <v>1468</v>
      </c>
      <c r="F142" s="14" t="s">
        <v>1478</v>
      </c>
      <c r="H142" t="s">
        <v>205</v>
      </c>
      <c r="I142" t="s">
        <v>205</v>
      </c>
      <c r="J142" t="s">
        <v>503</v>
      </c>
      <c r="K142" t="s">
        <v>205</v>
      </c>
      <c r="L142" t="s">
        <v>205</v>
      </c>
      <c r="M142" t="s">
        <v>503</v>
      </c>
      <c r="N142" t="s">
        <v>503</v>
      </c>
      <c r="O142" t="s">
        <v>1741</v>
      </c>
      <c r="P142" t="s">
        <v>48</v>
      </c>
    </row>
    <row r="143" spans="1:16" x14ac:dyDescent="0.25">
      <c r="A143" t="s">
        <v>1639</v>
      </c>
      <c r="B143" t="str">
        <f t="shared" si="2"/>
        <v>PTC6008 - Instruções sobre as práticas de manutenção preventiva</v>
      </c>
      <c r="D143" t="s">
        <v>1462</v>
      </c>
      <c r="E143" t="s">
        <v>1468</v>
      </c>
      <c r="F143" s="14" t="s">
        <v>1479</v>
      </c>
      <c r="H143" t="s">
        <v>242</v>
      </c>
      <c r="I143" t="s">
        <v>242</v>
      </c>
      <c r="J143" t="s">
        <v>525</v>
      </c>
      <c r="K143" t="s">
        <v>242</v>
      </c>
      <c r="L143" t="s">
        <v>242</v>
      </c>
      <c r="M143" t="s">
        <v>525</v>
      </c>
      <c r="N143" t="s">
        <v>525</v>
      </c>
      <c r="O143" t="s">
        <v>1788</v>
      </c>
      <c r="P143" t="s">
        <v>89</v>
      </c>
    </row>
    <row r="144" spans="1:16" x14ac:dyDescent="0.25">
      <c r="A144" t="s">
        <v>1640</v>
      </c>
      <c r="B144" t="str">
        <f t="shared" si="2"/>
        <v>PTC6009 - Condições prévias</v>
      </c>
      <c r="D144" t="s">
        <v>1462</v>
      </c>
      <c r="E144" t="s">
        <v>1468</v>
      </c>
      <c r="F144" s="14" t="s">
        <v>1480</v>
      </c>
      <c r="H144" t="s">
        <v>243</v>
      </c>
      <c r="I144" t="s">
        <v>243</v>
      </c>
      <c r="J144" t="s">
        <v>243</v>
      </c>
      <c r="K144" t="s">
        <v>243</v>
      </c>
      <c r="L144" t="s">
        <v>243</v>
      </c>
      <c r="M144" t="s">
        <v>243</v>
      </c>
      <c r="N144" t="s">
        <v>243</v>
      </c>
      <c r="O144" t="s">
        <v>1789</v>
      </c>
      <c r="P144" t="s">
        <v>90</v>
      </c>
    </row>
    <row r="145" spans="1:16" x14ac:dyDescent="0.25">
      <c r="A145" t="s">
        <v>1641</v>
      </c>
      <c r="B145" t="str">
        <f t="shared" si="2"/>
        <v>PTC6010 - Preparar</v>
      </c>
      <c r="D145" t="s">
        <v>1462</v>
      </c>
      <c r="E145" t="s">
        <v>1468</v>
      </c>
      <c r="F145" s="14" t="s">
        <v>1481</v>
      </c>
      <c r="H145" t="s">
        <v>227</v>
      </c>
      <c r="J145" t="s">
        <v>227</v>
      </c>
      <c r="O145" t="s">
        <v>227</v>
      </c>
      <c r="P145" t="s">
        <v>227</v>
      </c>
    </row>
    <row r="146" spans="1:16" x14ac:dyDescent="0.25">
      <c r="A146" t="s">
        <v>1642</v>
      </c>
      <c r="B146" t="str">
        <f t="shared" si="2"/>
        <v>PTC6011 - Plano de manutenção preventiva</v>
      </c>
      <c r="D146" t="s">
        <v>1462</v>
      </c>
      <c r="E146" t="s">
        <v>1468</v>
      </c>
      <c r="F146" s="14" t="s">
        <v>1482</v>
      </c>
      <c r="H146" t="s">
        <v>244</v>
      </c>
      <c r="I146" t="s">
        <v>244</v>
      </c>
      <c r="J146" t="s">
        <v>526</v>
      </c>
      <c r="K146" t="s">
        <v>244</v>
      </c>
      <c r="L146" t="s">
        <v>244</v>
      </c>
      <c r="M146" t="s">
        <v>526</v>
      </c>
      <c r="N146" t="s">
        <v>526</v>
      </c>
      <c r="O146" t="s">
        <v>1790</v>
      </c>
      <c r="P146" t="s">
        <v>91</v>
      </c>
    </row>
    <row r="147" spans="1:16" x14ac:dyDescent="0.25">
      <c r="A147" t="s">
        <v>1643</v>
      </c>
      <c r="B147" t="str">
        <f t="shared" si="2"/>
        <v>PTC6012 - Verificar o funcionamento interruptor de parada de emergência</v>
      </c>
      <c r="D147" t="s">
        <v>1462</v>
      </c>
      <c r="E147" t="s">
        <v>1468</v>
      </c>
      <c r="F147" s="14" t="s">
        <v>1483</v>
      </c>
      <c r="H147" t="s">
        <v>245</v>
      </c>
      <c r="I147" t="s">
        <v>245</v>
      </c>
      <c r="J147" t="s">
        <v>527</v>
      </c>
      <c r="K147" t="s">
        <v>245</v>
      </c>
      <c r="L147" t="s">
        <v>571</v>
      </c>
      <c r="M147" t="s">
        <v>527</v>
      </c>
      <c r="N147" t="s">
        <v>527</v>
      </c>
      <c r="O147" t="s">
        <v>527</v>
      </c>
      <c r="P147" t="s">
        <v>92</v>
      </c>
    </row>
    <row r="148" spans="1:16" x14ac:dyDescent="0.25">
      <c r="A148" t="s">
        <v>1644</v>
      </c>
      <c r="B148" t="str">
        <f t="shared" si="2"/>
        <v>PTC6013 - Fazer a manutenção do recipiente pressurizado</v>
      </c>
      <c r="D148" t="s">
        <v>1462</v>
      </c>
      <c r="E148" t="s">
        <v>1468</v>
      </c>
      <c r="F148" s="14" t="s">
        <v>1484</v>
      </c>
      <c r="J148" t="s">
        <v>528</v>
      </c>
      <c r="L148" t="s">
        <v>572</v>
      </c>
      <c r="O148" t="s">
        <v>1791</v>
      </c>
      <c r="P148" t="s">
        <v>93</v>
      </c>
    </row>
    <row r="149" spans="1:16" x14ac:dyDescent="0.25">
      <c r="A149" t="s">
        <v>1645</v>
      </c>
      <c r="B149" t="str">
        <f t="shared" si="2"/>
        <v>PTC6014 - Executar teste de lâmpadas</v>
      </c>
      <c r="D149" t="s">
        <v>1462</v>
      </c>
      <c r="E149" t="s">
        <v>1468</v>
      </c>
      <c r="F149" s="14" t="s">
        <v>1485</v>
      </c>
      <c r="H149" t="s">
        <v>246</v>
      </c>
      <c r="I149" t="s">
        <v>246</v>
      </c>
      <c r="J149" t="s">
        <v>529</v>
      </c>
      <c r="K149" t="s">
        <v>246</v>
      </c>
      <c r="L149" t="s">
        <v>246</v>
      </c>
      <c r="M149" t="s">
        <v>529</v>
      </c>
      <c r="N149" t="s">
        <v>529</v>
      </c>
      <c r="O149" t="s">
        <v>1792</v>
      </c>
      <c r="P149" t="s">
        <v>94</v>
      </c>
    </row>
    <row r="150" spans="1:16" x14ac:dyDescent="0.25">
      <c r="A150" s="15" t="s">
        <v>1851</v>
      </c>
      <c r="B150" s="15" t="str">
        <f t="shared" si="2"/>
        <v>PTC6015 - Mantendo a sujeira recolha de filtro na alimentação primária</v>
      </c>
      <c r="D150" t="s">
        <v>1462</v>
      </c>
      <c r="E150" t="s">
        <v>1468</v>
      </c>
      <c r="F150" s="14" t="s">
        <v>1486</v>
      </c>
      <c r="O150" t="s">
        <v>1793</v>
      </c>
      <c r="P150" t="s">
        <v>1384</v>
      </c>
    </row>
    <row r="151" spans="1:16" x14ac:dyDescent="0.25">
      <c r="A151" s="15" t="s">
        <v>1852</v>
      </c>
      <c r="B151" s="15" t="str">
        <f t="shared" si="2"/>
        <v>PTC6016 - Manutenção da sujidade recolha de filtro no retorno</v>
      </c>
      <c r="D151" t="s">
        <v>1462</v>
      </c>
      <c r="E151" t="s">
        <v>1468</v>
      </c>
      <c r="F151" s="14" t="s">
        <v>1487</v>
      </c>
      <c r="O151" t="s">
        <v>1794</v>
      </c>
      <c r="P151" t="s">
        <v>1385</v>
      </c>
    </row>
    <row r="152" spans="1:16" x14ac:dyDescent="0.25">
      <c r="A152" t="s">
        <v>1646</v>
      </c>
      <c r="B152" t="str">
        <f t="shared" si="2"/>
        <v>PTC6017 - Vistoriar as vedações</v>
      </c>
      <c r="D152" t="s">
        <v>1462</v>
      </c>
      <c r="E152" t="s">
        <v>1468</v>
      </c>
      <c r="F152" s="14" t="s">
        <v>1488</v>
      </c>
      <c r="H152" t="s">
        <v>247</v>
      </c>
      <c r="I152" t="s">
        <v>247</v>
      </c>
      <c r="J152" t="s">
        <v>530</v>
      </c>
      <c r="K152" t="s">
        <v>247</v>
      </c>
      <c r="L152" t="s">
        <v>247</v>
      </c>
      <c r="M152" t="s">
        <v>530</v>
      </c>
      <c r="N152" t="s">
        <v>530</v>
      </c>
      <c r="O152" t="s">
        <v>1795</v>
      </c>
      <c r="P152" t="s">
        <v>95</v>
      </c>
    </row>
    <row r="153" spans="1:16" x14ac:dyDescent="0.25">
      <c r="A153" t="s">
        <v>1647</v>
      </c>
      <c r="B153" t="str">
        <f t="shared" si="2"/>
        <v>PTC6018 - Apertar as uniões roscadas da tubulação de leite</v>
      </c>
      <c r="D153" t="s">
        <v>1462</v>
      </c>
      <c r="E153" t="s">
        <v>1468</v>
      </c>
      <c r="F153" s="14" t="s">
        <v>1489</v>
      </c>
      <c r="H153" t="s">
        <v>248</v>
      </c>
      <c r="I153" t="s">
        <v>248</v>
      </c>
      <c r="J153" t="s">
        <v>531</v>
      </c>
      <c r="K153" t="s">
        <v>248</v>
      </c>
      <c r="L153" t="s">
        <v>248</v>
      </c>
      <c r="M153" t="s">
        <v>1428</v>
      </c>
      <c r="N153" t="s">
        <v>1428</v>
      </c>
      <c r="O153" t="s">
        <v>1796</v>
      </c>
      <c r="P153" t="s">
        <v>96</v>
      </c>
    </row>
    <row r="154" spans="1:16" x14ac:dyDescent="0.25">
      <c r="A154" t="s">
        <v>1648</v>
      </c>
      <c r="B154" t="str">
        <f t="shared" si="2"/>
        <v>PTC6019 - Manutenção de peças adquiridas</v>
      </c>
      <c r="D154" t="s">
        <v>1462</v>
      </c>
      <c r="E154" t="s">
        <v>1468</v>
      </c>
      <c r="F154" s="14" t="s">
        <v>1490</v>
      </c>
      <c r="H154" t="s">
        <v>249</v>
      </c>
      <c r="I154" t="s">
        <v>249</v>
      </c>
      <c r="J154" t="s">
        <v>532</v>
      </c>
      <c r="K154" t="s">
        <v>249</v>
      </c>
      <c r="L154" t="s">
        <v>249</v>
      </c>
      <c r="M154" t="s">
        <v>532</v>
      </c>
      <c r="N154" t="s">
        <v>532</v>
      </c>
      <c r="O154" t="s">
        <v>1797</v>
      </c>
      <c r="P154" t="s">
        <v>97</v>
      </c>
    </row>
    <row r="155" spans="1:16" x14ac:dyDescent="0.25">
      <c r="A155" t="s">
        <v>1649</v>
      </c>
      <c r="B155" t="str">
        <f t="shared" si="2"/>
        <v>PTC6020 - Limpar superfícies</v>
      </c>
      <c r="D155" t="s">
        <v>1462</v>
      </c>
      <c r="E155" t="s">
        <v>1468</v>
      </c>
      <c r="F155" s="14" t="s">
        <v>1491</v>
      </c>
      <c r="H155" t="s">
        <v>250</v>
      </c>
      <c r="I155" t="s">
        <v>250</v>
      </c>
      <c r="J155" t="s">
        <v>250</v>
      </c>
      <c r="K155" t="s">
        <v>250</v>
      </c>
      <c r="L155" t="s">
        <v>250</v>
      </c>
      <c r="M155" t="s">
        <v>250</v>
      </c>
      <c r="N155" t="s">
        <v>250</v>
      </c>
      <c r="O155" t="s">
        <v>1798</v>
      </c>
      <c r="P155" t="s">
        <v>98</v>
      </c>
    </row>
    <row r="156" spans="1:16" x14ac:dyDescent="0.25">
      <c r="A156" t="s">
        <v>1650</v>
      </c>
      <c r="B156" t="str">
        <f t="shared" si="2"/>
        <v>PTC6021 - Reparo</v>
      </c>
      <c r="D156" t="s">
        <v>1462</v>
      </c>
      <c r="E156" t="s">
        <v>1468</v>
      </c>
      <c r="F156" s="14" t="s">
        <v>1492</v>
      </c>
      <c r="H156" t="s">
        <v>251</v>
      </c>
      <c r="I156" t="s">
        <v>251</v>
      </c>
      <c r="J156" t="s">
        <v>533</v>
      </c>
      <c r="K156" t="s">
        <v>251</v>
      </c>
      <c r="L156" t="s">
        <v>251</v>
      </c>
      <c r="M156" t="s">
        <v>533</v>
      </c>
      <c r="N156" t="s">
        <v>533</v>
      </c>
      <c r="O156" t="s">
        <v>1799</v>
      </c>
      <c r="P156" t="s">
        <v>99</v>
      </c>
    </row>
    <row r="157" spans="1:16" x14ac:dyDescent="0.25">
      <c r="A157" t="s">
        <v>1651</v>
      </c>
      <c r="B157" t="str">
        <f t="shared" si="2"/>
        <v>PTC7 - Falhas</v>
      </c>
      <c r="D157" t="s">
        <v>1462</v>
      </c>
      <c r="E157" t="s">
        <v>1469</v>
      </c>
      <c r="H157" s="5" t="s">
        <v>252</v>
      </c>
      <c r="I157" s="5" t="s">
        <v>252</v>
      </c>
      <c r="J157" s="5" t="s">
        <v>534</v>
      </c>
      <c r="K157" s="5" t="s">
        <v>252</v>
      </c>
      <c r="L157" s="5" t="s">
        <v>252</v>
      </c>
      <c r="M157" s="5" t="s">
        <v>534</v>
      </c>
      <c r="N157" s="5" t="s">
        <v>534</v>
      </c>
      <c r="O157" t="s">
        <v>1800</v>
      </c>
      <c r="P157" t="s">
        <v>100</v>
      </c>
    </row>
    <row r="158" spans="1:16" x14ac:dyDescent="0.25">
      <c r="A158" t="s">
        <v>1652</v>
      </c>
      <c r="B158" t="str">
        <f t="shared" si="2"/>
        <v>PTC7001 - Avisos de segurança</v>
      </c>
      <c r="D158" t="s">
        <v>1462</v>
      </c>
      <c r="E158" t="s">
        <v>1469</v>
      </c>
      <c r="F158" s="14" t="s">
        <v>1472</v>
      </c>
      <c r="H158" t="s">
        <v>205</v>
      </c>
      <c r="I158" t="s">
        <v>205</v>
      </c>
      <c r="J158" t="s">
        <v>503</v>
      </c>
      <c r="K158" t="s">
        <v>205</v>
      </c>
      <c r="L158" t="s">
        <v>205</v>
      </c>
      <c r="M158" t="s">
        <v>503</v>
      </c>
      <c r="N158" t="s">
        <v>503</v>
      </c>
      <c r="O158" t="s">
        <v>1741</v>
      </c>
      <c r="P158" t="s">
        <v>48</v>
      </c>
    </row>
    <row r="159" spans="1:16" x14ac:dyDescent="0.25">
      <c r="A159" t="s">
        <v>1653</v>
      </c>
      <c r="B159" t="str">
        <f t="shared" si="2"/>
        <v>PTC7002 - Detectar</v>
      </c>
      <c r="D159" t="s">
        <v>1462</v>
      </c>
      <c r="E159" t="s">
        <v>1469</v>
      </c>
      <c r="F159" s="14" t="s">
        <v>1473</v>
      </c>
      <c r="H159" t="s">
        <v>253</v>
      </c>
      <c r="I159" t="s">
        <v>253</v>
      </c>
      <c r="J159" t="s">
        <v>535</v>
      </c>
      <c r="K159" t="s">
        <v>253</v>
      </c>
      <c r="L159" t="s">
        <v>253</v>
      </c>
      <c r="M159" t="s">
        <v>535</v>
      </c>
      <c r="N159" t="s">
        <v>535</v>
      </c>
      <c r="O159" t="s">
        <v>1801</v>
      </c>
      <c r="P159" t="s">
        <v>101</v>
      </c>
    </row>
    <row r="160" spans="1:16" x14ac:dyDescent="0.25">
      <c r="A160" t="s">
        <v>1654</v>
      </c>
      <c r="B160" t="str">
        <f t="shared" si="2"/>
        <v>PTC7003 - Eliminar</v>
      </c>
      <c r="D160" t="s">
        <v>1462</v>
      </c>
      <c r="E160" t="s">
        <v>1469</v>
      </c>
      <c r="F160" s="14" t="s">
        <v>1474</v>
      </c>
      <c r="H160" t="s">
        <v>254</v>
      </c>
      <c r="I160" t="s">
        <v>254</v>
      </c>
      <c r="J160" t="s">
        <v>254</v>
      </c>
      <c r="K160" t="s">
        <v>254</v>
      </c>
      <c r="L160" t="s">
        <v>254</v>
      </c>
      <c r="M160" t="s">
        <v>254</v>
      </c>
      <c r="N160" t="s">
        <v>254</v>
      </c>
      <c r="O160" t="s">
        <v>1802</v>
      </c>
      <c r="P160" t="s">
        <v>102</v>
      </c>
    </row>
    <row r="161" spans="1:16" x14ac:dyDescent="0.25">
      <c r="A161" t="s">
        <v>1655</v>
      </c>
      <c r="B161" t="str">
        <f t="shared" si="2"/>
        <v>PTC8 - Dados técnicos</v>
      </c>
      <c r="D161" t="s">
        <v>1462</v>
      </c>
      <c r="E161" t="s">
        <v>1470</v>
      </c>
      <c r="H161" s="5" t="s">
        <v>255</v>
      </c>
      <c r="I161" s="5" t="s">
        <v>255</v>
      </c>
      <c r="J161" s="5" t="s">
        <v>255</v>
      </c>
      <c r="K161" s="5" t="s">
        <v>255</v>
      </c>
      <c r="L161" s="5" t="s">
        <v>255</v>
      </c>
      <c r="M161" s="5" t="s">
        <v>255</v>
      </c>
      <c r="N161" s="5" t="s">
        <v>255</v>
      </c>
      <c r="O161" t="s">
        <v>255</v>
      </c>
      <c r="P161" t="s">
        <v>103</v>
      </c>
    </row>
    <row r="162" spans="1:16" x14ac:dyDescent="0.25">
      <c r="A162" t="s">
        <v>1656</v>
      </c>
      <c r="B162" t="str">
        <f t="shared" si="2"/>
        <v>PTC8001 - Condições ambientais</v>
      </c>
      <c r="D162" t="s">
        <v>1462</v>
      </c>
      <c r="E162" t="s">
        <v>1470</v>
      </c>
      <c r="F162" s="14" t="s">
        <v>1472</v>
      </c>
      <c r="H162" t="s">
        <v>256</v>
      </c>
      <c r="I162" t="s">
        <v>256</v>
      </c>
      <c r="J162" t="s">
        <v>536</v>
      </c>
      <c r="K162" t="s">
        <v>256</v>
      </c>
      <c r="L162" t="s">
        <v>256</v>
      </c>
      <c r="M162" t="s">
        <v>536</v>
      </c>
      <c r="N162" t="s">
        <v>536</v>
      </c>
      <c r="O162" t="s">
        <v>1803</v>
      </c>
      <c r="P162" t="s">
        <v>104</v>
      </c>
    </row>
    <row r="163" spans="1:16" x14ac:dyDescent="0.25">
      <c r="A163" t="s">
        <v>1657</v>
      </c>
      <c r="B163" t="str">
        <f t="shared" si="2"/>
        <v>PTC8002 - Requisitos para fluidos</v>
      </c>
      <c r="D163" t="s">
        <v>1462</v>
      </c>
      <c r="E163" t="s">
        <v>1470</v>
      </c>
      <c r="F163" s="14" t="s">
        <v>1473</v>
      </c>
      <c r="H163" t="s">
        <v>257</v>
      </c>
      <c r="I163" t="s">
        <v>257</v>
      </c>
      <c r="J163" t="s">
        <v>257</v>
      </c>
      <c r="K163" t="s">
        <v>257</v>
      </c>
      <c r="L163" t="s">
        <v>257</v>
      </c>
      <c r="M163" t="s">
        <v>257</v>
      </c>
      <c r="N163" t="s">
        <v>257</v>
      </c>
      <c r="O163" t="s">
        <v>1804</v>
      </c>
      <c r="P163" t="s">
        <v>105</v>
      </c>
    </row>
    <row r="164" spans="1:16" x14ac:dyDescent="0.25">
      <c r="A164" s="15" t="s">
        <v>1832</v>
      </c>
      <c r="B164" s="15" t="str">
        <f t="shared" si="2"/>
        <v>PTC8003 - Energia elétrica</v>
      </c>
      <c r="D164" t="s">
        <v>1462</v>
      </c>
      <c r="E164" t="s">
        <v>1470</v>
      </c>
      <c r="F164" s="14" t="s">
        <v>1474</v>
      </c>
      <c r="O164" t="s">
        <v>1805</v>
      </c>
      <c r="P164" t="s">
        <v>149</v>
      </c>
    </row>
    <row r="165" spans="1:16" x14ac:dyDescent="0.25">
      <c r="A165" s="15" t="s">
        <v>1833</v>
      </c>
      <c r="B165" s="15" t="str">
        <f t="shared" si="2"/>
        <v>PTC8004 - Operação</v>
      </c>
      <c r="D165" t="s">
        <v>1462</v>
      </c>
      <c r="E165" t="s">
        <v>1470</v>
      </c>
      <c r="F165" s="14" t="s">
        <v>1475</v>
      </c>
      <c r="O165" t="s">
        <v>214</v>
      </c>
      <c r="P165" t="s">
        <v>57</v>
      </c>
    </row>
    <row r="166" spans="1:16" x14ac:dyDescent="0.25">
      <c r="A166" s="15" t="s">
        <v>1853</v>
      </c>
      <c r="B166" s="15" t="str">
        <f t="shared" si="2"/>
        <v>PTC8005 - especificações da máquina</v>
      </c>
      <c r="D166" t="s">
        <v>1462</v>
      </c>
      <c r="E166" t="s">
        <v>1470</v>
      </c>
      <c r="F166" s="14" t="s">
        <v>1476</v>
      </c>
      <c r="O166" t="s">
        <v>1806</v>
      </c>
      <c r="P166" t="s">
        <v>114</v>
      </c>
    </row>
    <row r="167" spans="1:16" x14ac:dyDescent="0.25">
      <c r="A167" s="15" t="s">
        <v>1854</v>
      </c>
      <c r="B167" s="15" t="str">
        <f t="shared" si="2"/>
        <v>PTC8006 - dados de abastecimento</v>
      </c>
      <c r="D167" t="s">
        <v>1462</v>
      </c>
      <c r="E167" t="s">
        <v>1470</v>
      </c>
      <c r="F167" s="14" t="s">
        <v>1477</v>
      </c>
      <c r="O167" t="s">
        <v>1807</v>
      </c>
      <c r="P167" t="s">
        <v>115</v>
      </c>
    </row>
    <row r="168" spans="1:16" x14ac:dyDescent="0.25">
      <c r="A168" t="s">
        <v>1658</v>
      </c>
      <c r="B168" t="str">
        <f t="shared" si="2"/>
        <v>PTC8007 - Explicação de termos</v>
      </c>
      <c r="D168" t="s">
        <v>1462</v>
      </c>
      <c r="E168" t="s">
        <v>1470</v>
      </c>
      <c r="F168" s="14" t="s">
        <v>1478</v>
      </c>
      <c r="H168" t="s">
        <v>258</v>
      </c>
      <c r="I168" t="s">
        <v>258</v>
      </c>
      <c r="J168" t="s">
        <v>258</v>
      </c>
      <c r="K168" t="s">
        <v>258</v>
      </c>
      <c r="L168" t="s">
        <v>258</v>
      </c>
      <c r="M168" t="s">
        <v>258</v>
      </c>
      <c r="N168" t="s">
        <v>258</v>
      </c>
      <c r="O168" t="s">
        <v>1808</v>
      </c>
      <c r="P168" t="s">
        <v>106</v>
      </c>
    </row>
    <row r="169" spans="1:16" x14ac:dyDescent="0.25">
      <c r="A169" t="s">
        <v>1659</v>
      </c>
      <c r="B169" t="str">
        <f t="shared" si="2"/>
        <v>PTC8008 - Água</v>
      </c>
      <c r="D169" t="s">
        <v>1462</v>
      </c>
      <c r="E169" t="s">
        <v>1470</v>
      </c>
      <c r="F169" s="14" t="s">
        <v>1479</v>
      </c>
      <c r="H169" t="s">
        <v>259</v>
      </c>
      <c r="I169" t="s">
        <v>259</v>
      </c>
      <c r="J169" t="s">
        <v>259</v>
      </c>
      <c r="K169" t="s">
        <v>259</v>
      </c>
      <c r="L169" t="s">
        <v>259</v>
      </c>
      <c r="M169" t="s">
        <v>259</v>
      </c>
      <c r="N169" t="s">
        <v>259</v>
      </c>
      <c r="O169" t="s">
        <v>259</v>
      </c>
      <c r="P169" t="s">
        <v>107</v>
      </c>
    </row>
    <row r="170" spans="1:16" x14ac:dyDescent="0.25">
      <c r="A170" t="s">
        <v>1660</v>
      </c>
      <c r="B170" t="str">
        <f t="shared" si="2"/>
        <v>PTC8009 - Ar</v>
      </c>
      <c r="D170" t="s">
        <v>1462</v>
      </c>
      <c r="E170" t="s">
        <v>1470</v>
      </c>
      <c r="F170" s="14" t="s">
        <v>1480</v>
      </c>
      <c r="H170" t="s">
        <v>260</v>
      </c>
      <c r="I170" t="s">
        <v>260</v>
      </c>
      <c r="J170" t="s">
        <v>260</v>
      </c>
      <c r="K170" t="s">
        <v>260</v>
      </c>
      <c r="L170" t="s">
        <v>260</v>
      </c>
      <c r="M170" t="s">
        <v>260</v>
      </c>
      <c r="N170" t="s">
        <v>260</v>
      </c>
      <c r="O170" t="s">
        <v>260</v>
      </c>
      <c r="P170" t="s">
        <v>108</v>
      </c>
    </row>
    <row r="171" spans="1:16" x14ac:dyDescent="0.25">
      <c r="A171" t="s">
        <v>1661</v>
      </c>
      <c r="B171" t="str">
        <f t="shared" si="2"/>
        <v>PTC8010 - Vapor</v>
      </c>
      <c r="D171" t="s">
        <v>1462</v>
      </c>
      <c r="E171" t="s">
        <v>1470</v>
      </c>
      <c r="F171" s="14" t="s">
        <v>1481</v>
      </c>
      <c r="H171" t="s">
        <v>261</v>
      </c>
      <c r="I171" t="s">
        <v>261</v>
      </c>
      <c r="J171" t="s">
        <v>261</v>
      </c>
      <c r="K171" t="s">
        <v>261</v>
      </c>
      <c r="L171" t="s">
        <v>261</v>
      </c>
      <c r="M171" t="s">
        <v>261</v>
      </c>
      <c r="N171" t="s">
        <v>261</v>
      </c>
      <c r="O171" t="s">
        <v>261</v>
      </c>
      <c r="P171" t="s">
        <v>109</v>
      </c>
    </row>
    <row r="172" spans="1:16" x14ac:dyDescent="0.25">
      <c r="A172" t="s">
        <v>1662</v>
      </c>
      <c r="B172" t="str">
        <f t="shared" si="2"/>
        <v>PTC8011 - Recomendações de limpeza</v>
      </c>
      <c r="D172" t="s">
        <v>1462</v>
      </c>
      <c r="E172" t="s">
        <v>1470</v>
      </c>
      <c r="F172" s="14" t="s">
        <v>1482</v>
      </c>
      <c r="H172" t="s">
        <v>262</v>
      </c>
      <c r="I172" t="s">
        <v>262</v>
      </c>
      <c r="J172" t="s">
        <v>262</v>
      </c>
      <c r="K172" t="s">
        <v>262</v>
      </c>
      <c r="L172" t="s">
        <v>262</v>
      </c>
      <c r="M172" t="s">
        <v>262</v>
      </c>
      <c r="N172" t="s">
        <v>262</v>
      </c>
      <c r="O172" t="s">
        <v>1809</v>
      </c>
      <c r="P172" t="s">
        <v>110</v>
      </c>
    </row>
    <row r="173" spans="1:16" x14ac:dyDescent="0.25">
      <c r="A173" t="s">
        <v>1663</v>
      </c>
      <c r="B173" t="str">
        <f t="shared" si="2"/>
        <v>PTC8012 - Higiene do ambiente (piso, paredes, ralos, esteiras)</v>
      </c>
      <c r="D173" t="s">
        <v>1462</v>
      </c>
      <c r="E173" t="s">
        <v>1470</v>
      </c>
      <c r="F173" s="14" t="s">
        <v>1483</v>
      </c>
      <c r="H173" t="s">
        <v>263</v>
      </c>
      <c r="I173" t="s">
        <v>263</v>
      </c>
      <c r="J173" t="s">
        <v>537</v>
      </c>
      <c r="K173" t="s">
        <v>263</v>
      </c>
      <c r="L173" t="s">
        <v>263</v>
      </c>
      <c r="M173" t="s">
        <v>537</v>
      </c>
      <c r="N173" t="s">
        <v>537</v>
      </c>
      <c r="O173" t="s">
        <v>1810</v>
      </c>
      <c r="P173" t="s">
        <v>111</v>
      </c>
    </row>
    <row r="174" spans="1:16" x14ac:dyDescent="0.25">
      <c r="A174" t="s">
        <v>1664</v>
      </c>
      <c r="B174" t="str">
        <f t="shared" si="2"/>
        <v>PTC8013 - Limpeza externa: máquinas selecionadas</v>
      </c>
      <c r="D174" t="s">
        <v>1462</v>
      </c>
      <c r="E174" t="s">
        <v>1470</v>
      </c>
      <c r="F174" s="14" t="s">
        <v>1484</v>
      </c>
      <c r="H174" t="s">
        <v>264</v>
      </c>
      <c r="I174" t="s">
        <v>264</v>
      </c>
      <c r="J174" t="s">
        <v>538</v>
      </c>
      <c r="K174" t="s">
        <v>264</v>
      </c>
      <c r="L174" t="s">
        <v>264</v>
      </c>
      <c r="M174" t="s">
        <v>538</v>
      </c>
      <c r="N174" t="s">
        <v>538</v>
      </c>
      <c r="O174" t="s">
        <v>264</v>
      </c>
      <c r="P174" t="s">
        <v>112</v>
      </c>
    </row>
    <row r="175" spans="1:16" x14ac:dyDescent="0.25">
      <c r="A175" t="s">
        <v>1665</v>
      </c>
      <c r="B175" t="str">
        <f t="shared" si="2"/>
        <v>PTC8014 - Passivação</v>
      </c>
      <c r="D175" t="s">
        <v>1462</v>
      </c>
      <c r="E175" t="s">
        <v>1470</v>
      </c>
      <c r="F175" s="14" t="s">
        <v>1485</v>
      </c>
      <c r="H175" t="s">
        <v>265</v>
      </c>
      <c r="I175" t="s">
        <v>265</v>
      </c>
      <c r="J175" t="s">
        <v>265</v>
      </c>
      <c r="K175" t="s">
        <v>265</v>
      </c>
      <c r="L175" t="s">
        <v>265</v>
      </c>
      <c r="M175" t="s">
        <v>265</v>
      </c>
      <c r="N175" t="s">
        <v>265</v>
      </c>
      <c r="O175" t="s">
        <v>265</v>
      </c>
      <c r="P175" t="s">
        <v>113</v>
      </c>
    </row>
    <row r="176" spans="1:16" x14ac:dyDescent="0.25">
      <c r="A176" t="s">
        <v>1666</v>
      </c>
      <c r="B176" t="str">
        <f t="shared" si="2"/>
        <v>PTC8015 - Operação</v>
      </c>
      <c r="D176" t="s">
        <v>1462</v>
      </c>
      <c r="E176" t="s">
        <v>1470</v>
      </c>
      <c r="F176" s="14" t="s">
        <v>1486</v>
      </c>
      <c r="H176" t="s">
        <v>214</v>
      </c>
      <c r="I176" t="s">
        <v>214</v>
      </c>
      <c r="J176" t="s">
        <v>214</v>
      </c>
      <c r="K176" t="s">
        <v>214</v>
      </c>
      <c r="L176" t="s">
        <v>214</v>
      </c>
      <c r="M176" t="s">
        <v>214</v>
      </c>
      <c r="N176" t="s">
        <v>214</v>
      </c>
      <c r="O176" t="s">
        <v>214</v>
      </c>
      <c r="P176" t="s">
        <v>57</v>
      </c>
    </row>
    <row r="177" spans="1:16" x14ac:dyDescent="0.25">
      <c r="A177" t="s">
        <v>1667</v>
      </c>
      <c r="B177" t="str">
        <f t="shared" si="2"/>
        <v>PTC8016 - Dados da máquina</v>
      </c>
      <c r="D177" t="s">
        <v>1462</v>
      </c>
      <c r="E177" t="s">
        <v>1470</v>
      </c>
      <c r="F177" s="14" t="s">
        <v>1487</v>
      </c>
      <c r="H177" t="s">
        <v>266</v>
      </c>
      <c r="I177" t="s">
        <v>266</v>
      </c>
      <c r="J177" t="s">
        <v>266</v>
      </c>
      <c r="K177" t="s">
        <v>266</v>
      </c>
      <c r="L177" t="s">
        <v>266</v>
      </c>
      <c r="M177" t="s">
        <v>266</v>
      </c>
      <c r="N177" t="s">
        <v>266</v>
      </c>
      <c r="O177" t="s">
        <v>1806</v>
      </c>
      <c r="P177" t="s">
        <v>114</v>
      </c>
    </row>
    <row r="178" spans="1:16" x14ac:dyDescent="0.25">
      <c r="A178" t="s">
        <v>1668</v>
      </c>
      <c r="B178" t="str">
        <f t="shared" si="2"/>
        <v>PTC8017 - Dados de alimentação</v>
      </c>
      <c r="D178" t="s">
        <v>1462</v>
      </c>
      <c r="E178" t="s">
        <v>1470</v>
      </c>
      <c r="F178" s="14" t="s">
        <v>1488</v>
      </c>
      <c r="I178" t="s">
        <v>550</v>
      </c>
      <c r="K178" t="s">
        <v>550</v>
      </c>
      <c r="L178" t="s">
        <v>550</v>
      </c>
      <c r="M178" t="s">
        <v>550</v>
      </c>
      <c r="N178" t="s">
        <v>550</v>
      </c>
      <c r="O178" t="s">
        <v>1807</v>
      </c>
      <c r="P178" t="s">
        <v>115</v>
      </c>
    </row>
    <row r="179" spans="1:16" x14ac:dyDescent="0.25">
      <c r="A179" t="s">
        <v>1669</v>
      </c>
      <c r="B179" t="str">
        <f t="shared" si="2"/>
        <v>PTC8018 - Quantidades de escoamento das máquinas</v>
      </c>
      <c r="D179" t="s">
        <v>1462</v>
      </c>
      <c r="E179" t="s">
        <v>1470</v>
      </c>
      <c r="F179" s="14" t="s">
        <v>1489</v>
      </c>
      <c r="L179" t="s">
        <v>573</v>
      </c>
      <c r="M179" t="s">
        <v>1429</v>
      </c>
      <c r="N179" t="s">
        <v>1429</v>
      </c>
      <c r="O179" t="s">
        <v>1811</v>
      </c>
      <c r="P179" t="s">
        <v>116</v>
      </c>
    </row>
    <row r="180" spans="1:16" x14ac:dyDescent="0.25">
      <c r="A180" t="s">
        <v>1670</v>
      </c>
      <c r="B180" t="str">
        <f t="shared" si="2"/>
        <v>PTC8019 - Valores de ajuste</v>
      </c>
      <c r="D180" t="s">
        <v>1462</v>
      </c>
      <c r="E180" t="s">
        <v>1470</v>
      </c>
      <c r="F180" s="14" t="s">
        <v>1490</v>
      </c>
      <c r="H180" t="s">
        <v>267</v>
      </c>
      <c r="I180" t="s">
        <v>267</v>
      </c>
      <c r="J180" t="s">
        <v>267</v>
      </c>
      <c r="K180" t="s">
        <v>267</v>
      </c>
      <c r="L180" t="s">
        <v>267</v>
      </c>
      <c r="M180" t="s">
        <v>267</v>
      </c>
      <c r="N180" t="s">
        <v>267</v>
      </c>
      <c r="O180" t="s">
        <v>1812</v>
      </c>
      <c r="P180" t="s">
        <v>117</v>
      </c>
    </row>
    <row r="181" spans="1:16" x14ac:dyDescent="0.25">
      <c r="A181" t="s">
        <v>1671</v>
      </c>
      <c r="B181" t="str">
        <f t="shared" si="2"/>
        <v>PTC8020 - Emissão de ruído</v>
      </c>
      <c r="D181" t="s">
        <v>1462</v>
      </c>
      <c r="E181" t="s">
        <v>1470</v>
      </c>
      <c r="F181" s="14" t="s">
        <v>1491</v>
      </c>
      <c r="H181" t="s">
        <v>268</v>
      </c>
      <c r="I181" t="s">
        <v>268</v>
      </c>
      <c r="J181" t="s">
        <v>268</v>
      </c>
      <c r="K181" t="s">
        <v>268</v>
      </c>
      <c r="L181" t="s">
        <v>268</v>
      </c>
      <c r="M181" t="s">
        <v>268</v>
      </c>
      <c r="N181" t="s">
        <v>268</v>
      </c>
      <c r="O181" t="s">
        <v>1813</v>
      </c>
      <c r="P181" t="s">
        <v>118</v>
      </c>
    </row>
    <row r="182" spans="1:16" x14ac:dyDescent="0.25">
      <c r="A182" t="s">
        <v>1672</v>
      </c>
      <c r="B182" t="str">
        <f t="shared" si="2"/>
        <v>PTC8021 - Manutenção</v>
      </c>
      <c r="D182" t="s">
        <v>1462</v>
      </c>
      <c r="E182" t="s">
        <v>1470</v>
      </c>
      <c r="F182" s="14" t="s">
        <v>1492</v>
      </c>
      <c r="H182" t="s">
        <v>236</v>
      </c>
      <c r="I182" t="s">
        <v>236</v>
      </c>
      <c r="J182" t="s">
        <v>521</v>
      </c>
      <c r="K182" t="s">
        <v>236</v>
      </c>
      <c r="L182" t="s">
        <v>236</v>
      </c>
      <c r="M182" t="s">
        <v>521</v>
      </c>
      <c r="N182" t="s">
        <v>521</v>
      </c>
      <c r="O182" t="s">
        <v>1783</v>
      </c>
      <c r="P182" t="s">
        <v>83</v>
      </c>
    </row>
    <row r="183" spans="1:16" x14ac:dyDescent="0.25">
      <c r="A183" t="s">
        <v>1673</v>
      </c>
      <c r="B183" t="str">
        <f t="shared" si="2"/>
        <v>PTC8022 - Identificação dos dispositivos para desligamento e proteção</v>
      </c>
      <c r="D183" t="s">
        <v>1462</v>
      </c>
      <c r="E183" t="s">
        <v>1470</v>
      </c>
      <c r="F183" s="14" t="s">
        <v>1493</v>
      </c>
      <c r="H183" t="s">
        <v>269</v>
      </c>
      <c r="I183" t="s">
        <v>551</v>
      </c>
      <c r="J183" t="s">
        <v>539</v>
      </c>
      <c r="K183" t="s">
        <v>551</v>
      </c>
      <c r="L183" t="s">
        <v>551</v>
      </c>
      <c r="M183" t="s">
        <v>539</v>
      </c>
      <c r="N183" t="s">
        <v>539</v>
      </c>
      <c r="O183" t="s">
        <v>1814</v>
      </c>
      <c r="P183" t="s">
        <v>137</v>
      </c>
    </row>
    <row r="184" spans="1:16" x14ac:dyDescent="0.25">
      <c r="A184" t="s">
        <v>1674</v>
      </c>
      <c r="B184" t="str">
        <f t="shared" si="2"/>
        <v>PTC8023 - Compatibilidades dos materiais</v>
      </c>
      <c r="D184" t="s">
        <v>1462</v>
      </c>
      <c r="E184" t="s">
        <v>1470</v>
      </c>
      <c r="F184" s="14" t="s">
        <v>1494</v>
      </c>
      <c r="H184" t="s">
        <v>270</v>
      </c>
      <c r="I184" t="s">
        <v>270</v>
      </c>
      <c r="J184" t="s">
        <v>540</v>
      </c>
      <c r="K184" t="s">
        <v>270</v>
      </c>
      <c r="L184" t="s">
        <v>270</v>
      </c>
      <c r="M184" t="s">
        <v>540</v>
      </c>
      <c r="N184" t="s">
        <v>540</v>
      </c>
      <c r="O184" t="s">
        <v>1815</v>
      </c>
      <c r="P184" t="s">
        <v>119</v>
      </c>
    </row>
    <row r="185" spans="1:16" x14ac:dyDescent="0.25">
      <c r="A185" s="15" t="s">
        <v>1834</v>
      </c>
      <c r="B185" s="15" t="str">
        <f t="shared" si="2"/>
        <v>PTC8024 - Detergente</v>
      </c>
      <c r="D185" t="s">
        <v>1462</v>
      </c>
      <c r="E185" t="s">
        <v>1470</v>
      </c>
      <c r="F185" s="14" t="s">
        <v>1495</v>
      </c>
      <c r="O185" t="s">
        <v>472</v>
      </c>
      <c r="P185" t="s">
        <v>150</v>
      </c>
    </row>
    <row r="186" spans="1:16" x14ac:dyDescent="0.25">
      <c r="A186" t="s">
        <v>1675</v>
      </c>
      <c r="B186" t="str">
        <f t="shared" si="2"/>
        <v>PTC8025 - Características dos materiais de vedação</v>
      </c>
      <c r="D186" t="s">
        <v>1462</v>
      </c>
      <c r="E186" t="s">
        <v>1470</v>
      </c>
      <c r="F186" s="14" t="s">
        <v>1496</v>
      </c>
      <c r="H186" t="s">
        <v>271</v>
      </c>
      <c r="I186" t="s">
        <v>271</v>
      </c>
      <c r="J186" t="s">
        <v>541</v>
      </c>
      <c r="K186" t="s">
        <v>271</v>
      </c>
      <c r="L186" t="s">
        <v>271</v>
      </c>
      <c r="M186" t="s">
        <v>541</v>
      </c>
      <c r="N186" t="s">
        <v>541</v>
      </c>
      <c r="O186" t="s">
        <v>271</v>
      </c>
      <c r="P186" t="s">
        <v>120</v>
      </c>
    </row>
    <row r="187" spans="1:16" x14ac:dyDescent="0.25">
      <c r="A187" t="s">
        <v>1676</v>
      </c>
      <c r="B187" t="str">
        <f t="shared" si="2"/>
        <v>PTC8026 - Certificados</v>
      </c>
      <c r="D187" t="s">
        <v>1462</v>
      </c>
      <c r="E187" t="s">
        <v>1470</v>
      </c>
      <c r="F187" s="14" t="s">
        <v>1497</v>
      </c>
      <c r="J187" t="s">
        <v>474</v>
      </c>
      <c r="M187" t="s">
        <v>543</v>
      </c>
      <c r="O187" t="s">
        <v>474</v>
      </c>
      <c r="P187" t="s">
        <v>474</v>
      </c>
    </row>
    <row r="188" spans="1:16" x14ac:dyDescent="0.25">
      <c r="A188" t="s">
        <v>1677</v>
      </c>
      <c r="B188" t="str">
        <f t="shared" si="2"/>
        <v>PTC8027 - Declaração de conformidade CE</v>
      </c>
      <c r="D188" t="s">
        <v>1462</v>
      </c>
      <c r="E188" t="s">
        <v>1470</v>
      </c>
      <c r="F188" s="14" t="s">
        <v>1498</v>
      </c>
      <c r="J188" t="s">
        <v>542</v>
      </c>
      <c r="O188" t="s">
        <v>475</v>
      </c>
      <c r="P188" t="s">
        <v>475</v>
      </c>
    </row>
    <row r="189" spans="1:16" x14ac:dyDescent="0.25">
      <c r="A189" t="s">
        <v>1678</v>
      </c>
      <c r="B189" t="str">
        <f t="shared" si="2"/>
        <v>PTC8028 - Plano de montagem</v>
      </c>
      <c r="D189" t="s">
        <v>1462</v>
      </c>
      <c r="E189" t="s">
        <v>1470</v>
      </c>
      <c r="F189" s="14" t="s">
        <v>1499</v>
      </c>
      <c r="H189" t="s">
        <v>272</v>
      </c>
      <c r="I189" t="s">
        <v>272</v>
      </c>
      <c r="J189" t="s">
        <v>543</v>
      </c>
      <c r="K189" t="s">
        <v>272</v>
      </c>
      <c r="L189" t="s">
        <v>574</v>
      </c>
      <c r="N189" t="s">
        <v>543</v>
      </c>
      <c r="O189" t="s">
        <v>1816</v>
      </c>
      <c r="P189" t="s">
        <v>121</v>
      </c>
    </row>
    <row r="190" spans="1:16" x14ac:dyDescent="0.25">
      <c r="A190" s="15" t="s">
        <v>1855</v>
      </c>
      <c r="B190" s="15" t="str">
        <f t="shared" si="2"/>
        <v>PTC8029 - sistema de limpeza</v>
      </c>
      <c r="D190" t="s">
        <v>1462</v>
      </c>
      <c r="E190" t="s">
        <v>1470</v>
      </c>
      <c r="F190" s="14" t="s">
        <v>1500</v>
      </c>
      <c r="O190" t="s">
        <v>1713</v>
      </c>
      <c r="P190" t="s">
        <v>30</v>
      </c>
    </row>
    <row r="191" spans="1:16" x14ac:dyDescent="0.25">
      <c r="A191" s="15" t="s">
        <v>1856</v>
      </c>
      <c r="B191" s="15" t="str">
        <f t="shared" si="2"/>
        <v>PTC8030 - área CR69</v>
      </c>
      <c r="D191" t="s">
        <v>1462</v>
      </c>
      <c r="E191" t="s">
        <v>1470</v>
      </c>
      <c r="F191" s="14" t="s">
        <v>1501</v>
      </c>
      <c r="O191" t="s">
        <v>1817</v>
      </c>
      <c r="P191" t="s">
        <v>122</v>
      </c>
    </row>
    <row r="192" spans="1:16" x14ac:dyDescent="0.25">
      <c r="A192" s="15" t="s">
        <v>1835</v>
      </c>
      <c r="B192" s="15" t="str">
        <f t="shared" si="2"/>
        <v>PTC8031 - Aquecedor de água fresca (área CR83)</v>
      </c>
      <c r="D192" t="s">
        <v>1462</v>
      </c>
      <c r="E192" t="s">
        <v>1470</v>
      </c>
      <c r="F192" s="14" t="s">
        <v>1502</v>
      </c>
      <c r="O192" t="s">
        <v>1720</v>
      </c>
      <c r="P192" t="s">
        <v>36</v>
      </c>
    </row>
    <row r="193" spans="1:16" x14ac:dyDescent="0.25">
      <c r="A193" s="15" t="s">
        <v>1836</v>
      </c>
      <c r="B193" s="15" t="str">
        <f t="shared" si="2"/>
        <v>PTC8032 - Aquecedor de água fresca (área CR84)</v>
      </c>
      <c r="D193" t="s">
        <v>1462</v>
      </c>
      <c r="E193" t="s">
        <v>1470</v>
      </c>
      <c r="F193" s="14" t="s">
        <v>1503</v>
      </c>
      <c r="O193" t="s">
        <v>1719</v>
      </c>
      <c r="P193" t="s">
        <v>35</v>
      </c>
    </row>
    <row r="194" spans="1:16" x14ac:dyDescent="0.25">
      <c r="A194" t="s">
        <v>1679</v>
      </c>
      <c r="B194" t="str">
        <f t="shared" si="2"/>
        <v>PTC8033 - Fluxograma da tubulação e dos instrumentos (diagrama P&amp;ID)</v>
      </c>
      <c r="D194" t="s">
        <v>1462</v>
      </c>
      <c r="E194" t="s">
        <v>1470</v>
      </c>
      <c r="F194" s="14" t="s">
        <v>1504</v>
      </c>
      <c r="H194" t="s">
        <v>273</v>
      </c>
      <c r="I194" t="s">
        <v>273</v>
      </c>
      <c r="J194" t="s">
        <v>544</v>
      </c>
      <c r="K194" t="s">
        <v>273</v>
      </c>
      <c r="L194" t="s">
        <v>273</v>
      </c>
      <c r="M194" t="s">
        <v>544</v>
      </c>
      <c r="N194" t="s">
        <v>544</v>
      </c>
      <c r="O194" t="s">
        <v>1818</v>
      </c>
      <c r="P194" t="s">
        <v>123</v>
      </c>
    </row>
    <row r="195" spans="1:16" x14ac:dyDescent="0.25">
      <c r="A195" t="s">
        <v>1680</v>
      </c>
      <c r="B195" t="str">
        <f t="shared" ref="B195:B197" si="3">IF(H195="",IF(I195="",IF(J195="",IF(K195="",IF(L195="",IF(M195="",IF(N195="",IF(O195="","",_xlfn.CONCAT(D195,E195,F195," - ",O195)),_xlfn.CONCAT(D195,E195,F195," - ",N195)),_xlfn.CONCAT(D195,E195,F195," - ",M195)),_xlfn.CONCAT(D195,E195,F195," - ",L195)),_xlfn.CONCAT(D195,E195,F195," - ",K195)),_xlfn.CONCAT(D195,E195,F195," - ",J195)),_xlfn.CONCAT(D195,E195,F195," - ",I195)),_xlfn.CONCAT(D195,E195,F195," - ",H195))</f>
        <v>PTC8034 - Legenda</v>
      </c>
      <c r="D195" t="s">
        <v>1462</v>
      </c>
      <c r="E195" t="s">
        <v>1470</v>
      </c>
      <c r="F195" s="14" t="s">
        <v>1505</v>
      </c>
      <c r="H195" t="s">
        <v>274</v>
      </c>
      <c r="I195" t="s">
        <v>274</v>
      </c>
      <c r="J195" t="s">
        <v>274</v>
      </c>
      <c r="K195" t="s">
        <v>274</v>
      </c>
      <c r="L195" t="s">
        <v>274</v>
      </c>
      <c r="M195" t="s">
        <v>274</v>
      </c>
      <c r="N195" t="s">
        <v>274</v>
      </c>
      <c r="O195" t="s">
        <v>1819</v>
      </c>
      <c r="P195" t="s">
        <v>124</v>
      </c>
    </row>
    <row r="196" spans="1:16" x14ac:dyDescent="0.25">
      <c r="A196" s="15" t="s">
        <v>1858</v>
      </c>
      <c r="B196" s="15" t="str">
        <f t="shared" si="3"/>
        <v>PTC8035 - lista de conexão de mídia</v>
      </c>
      <c r="D196" t="s">
        <v>1462</v>
      </c>
      <c r="E196" t="s">
        <v>1470</v>
      </c>
      <c r="F196" s="14" t="s">
        <v>1506</v>
      </c>
      <c r="O196" t="s">
        <v>1820</v>
      </c>
      <c r="P196" t="s">
        <v>151</v>
      </c>
    </row>
    <row r="197" spans="1:16" x14ac:dyDescent="0.25">
      <c r="A197" t="s">
        <v>1681</v>
      </c>
      <c r="B197" t="str">
        <f t="shared" si="3"/>
        <v>PTC9 - Anexo</v>
      </c>
      <c r="D197" t="s">
        <v>1462</v>
      </c>
      <c r="E197" t="s">
        <v>1471</v>
      </c>
      <c r="H197" s="5" t="s">
        <v>275</v>
      </c>
      <c r="I197" s="5" t="s">
        <v>275</v>
      </c>
      <c r="J197" s="5" t="s">
        <v>275</v>
      </c>
      <c r="K197" s="5" t="s">
        <v>275</v>
      </c>
      <c r="L197" s="5" t="s">
        <v>275</v>
      </c>
      <c r="M197" s="5" t="s">
        <v>275</v>
      </c>
      <c r="N197" s="5" t="s">
        <v>275</v>
      </c>
      <c r="O197" t="s">
        <v>1821</v>
      </c>
      <c r="P197" t="s">
        <v>125</v>
      </c>
    </row>
  </sheetData>
  <autoFilter ref="B1:N197" xr:uid="{AE75C646-4156-40B6-8C1A-EF1EDB03E7B2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Padrão Alemanha</vt:lpstr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Marrasca, Carlos</dc:creator>
  <cp:lastModifiedBy>Marrasca, Carlos</cp:lastModifiedBy>
  <dcterms:created xsi:type="dcterms:W3CDTF">2020-09-23T12:47:30Z</dcterms:created>
  <dcterms:modified xsi:type="dcterms:W3CDTF">2020-11-24T16:49:29Z</dcterms:modified>
</cp:coreProperties>
</file>